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History" sheetId="2" state="visible" r:id="rId4"/>
    <sheet name="Assumptions" sheetId="3" state="visible" r:id="rId5"/>
    <sheet name="Revenue Build" sheetId="4" state="visible" r:id="rId6"/>
    <sheet name="Scenario Output" sheetId="5" state="visible" r:id="rId7"/>
    <sheet name="Tata Sons Bridge" sheetId="6" state="visible" r:id="rId8"/>
    <sheet name="Sensitivity" sheetId="7" state="visible" r:id="rId9"/>
    <sheet name="Risk Regist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<sst xmlns="http://schemas.openxmlformats.org/spreadsheetml/2006/main" count="517" uniqueCount="188">
  <si>
    <t xml:space="preserve">TCS — Five-Year Scenario Model (FY27–FY31)</t>
  </si>
  <si>
    <t xml:space="preserve">Prepared for the Chairman, Tata Sons  ·  base year FY26 (year ended 31 March 2026)</t>
  </si>
  <si>
    <t xml:space="preserve">WHAT THIS IS</t>
  </si>
  <si>
    <t xml:space="preserve">A driver-based model of TCS revenue, margin, cash and dividend under four scenarios, and what each means for Tata Sons' parent-level funding capacity.</t>
  </si>
  <si>
    <t xml:space="preserve">HOW TO USE IT</t>
  </si>
  <si>
    <t xml:space="preserve">Every blue cell is an input you can change. Everything black is a formula. Change an assumption on 'Assumptions' and every sheet recalculates.</t>
  </si>
  <si>
    <t xml:space="preserve">COLOUR LEGEND</t>
  </si>
  <si>
    <t xml:space="preserve">  Blue text</t>
  </si>
  <si>
    <t xml:space="preserve">Hard-coded input / scenario lever — edit these.</t>
  </si>
  <si>
    <t xml:space="preserve">  Black text</t>
  </si>
  <si>
    <t xml:space="preserve">Formula — do not overwrite.</t>
  </si>
  <si>
    <t xml:space="preserve">  Green text</t>
  </si>
  <si>
    <t xml:space="preserve">Link to another sheet in this workbook.</t>
  </si>
  <si>
    <t xml:space="preserve">  Yellow fill</t>
  </si>
  <si>
    <t xml:space="preserve">Key judgement call. These drive the answer; challenge them first.</t>
  </si>
  <si>
    <t xml:space="preserve">SHEETS</t>
  </si>
  <si>
    <t xml:space="preserve">  History</t>
  </si>
  <si>
    <t xml:space="preserve">TCS actuals FY22–FY26 and Q1 FY27, with sources.</t>
  </si>
  <si>
    <t xml:space="preserve">  Assumptions</t>
  </si>
  <si>
    <t xml:space="preserve">All shared parameters, the revenue decomposition, and the four scenario driver blocks.</t>
  </si>
  <si>
    <t xml:space="preserve">  Revenue Build</t>
  </si>
  <si>
    <t xml:space="preserve">Bucket-level revenue build for each scenario, FY27–FY31.</t>
  </si>
  <si>
    <t xml:space="preserve">  Scenario Output</t>
  </si>
  <si>
    <t xml:space="preserve">Full P&amp;L, cash, dividend and headcount output for each scenario.</t>
  </si>
  <si>
    <t xml:space="preserve">  Tata Sons Bridge</t>
  </si>
  <si>
    <t xml:space="preserve">Parent-level cash bridge: TCS dividend vs. the capital call from Air India, Tata Electronics, Agratas and Tata Digital.</t>
  </si>
  <si>
    <t xml:space="preserve">  Sensitivity</t>
  </si>
  <si>
    <t xml:space="preserve">FY31 dividend to Tata Sons across revenue CAGR × terminal operating margin.</t>
  </si>
  <si>
    <t xml:space="preserve">  Risk Register</t>
  </si>
  <si>
    <t xml:space="preserve">Revenue-at-risk by exposure bucket.</t>
  </si>
  <si>
    <t xml:space="preserve">THE ONE CAVEAT</t>
  </si>
  <si>
    <t xml:space="preserve">TCS stopped disclosing a service-line revenue split after FY21. The seven-bucket decomposition on 'Assumptions' is a reconstruction, not a disclosure. It is the single most challengeable input in this model and the first thing to replace with internal MIS.</t>
  </si>
  <si>
    <t xml:space="preserve">PRIMARY SOURCES</t>
  </si>
  <si>
    <t xml:space="preserve">TCS Q4 FY26 Fact Sheet and press release; TCS Q1 FY27 press release; Tata Sons FY26 accounts as reported; Business Standard; Business Today; company filings.</t>
  </si>
  <si>
    <t xml:space="preserve">TCS — Reported actuals</t>
  </si>
  <si>
    <t xml:space="preserve">Source: TCS quarterly fact sheets and results press releases, tcs.com/investor-relations</t>
  </si>
  <si>
    <t xml:space="preserve">Metric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</si>
  <si>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</si>
  <si>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</si>
  <si>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</si>
  <si>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</si>
  <si>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</si>
  <si>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Q1 FY27</t>
  </si>
  <si>
    <t xml:space="preserve">Revenue ($mn)</t>
  </si>
  <si>
    <t xml:space="preserve">Revenue growth, reported USD</t>
  </si>
  <si>
    <t xml:space="preserve">Revenue growth, constant currency</t>
  </si>
  <si>
    <t xml:space="preserve">Operating margin</t>
  </si>
  <si>
    <t xml:space="preserve">Net margin</t>
  </si>
  <si>
    <t xml:space="preserve">Net income ($mn)</t>
  </si>
  <si>
    <t xml:space="preserve">Revenue (₹ crore)</t>
  </si>
  <si>
    <t xml:space="preserve">Net income (₹ crore)</t>
  </si>
  <si>
    <t xml:space="preserve">Order book / TCV ($bn)</t>
  </si>
  <si>
    <t xml:space="preserve">Closing headcount</t>
  </si>
  <si>
    <t xml:space="preserve">Dividend per share (₹)</t>
  </si>
  <si>
    <t xml:space="preserve">Total shareholder payout (₹ crore)</t>
  </si>
  <si>
    <t xml:space="preserve">Derived</t>
  </si>
  <si>
    <t xml:space="preserve">Revenue per employee ($)</t>
  </si>
  <si>
    <t xml:space="preserve">Implied ₹/US$ (revenue-weighted)</t>
  </si>
  <si>
    <t xml:space="preserve">Payout as % of net income</t>
  </si>
  <si>
    <t xml:space="preserve">Note: FY26 was the first US-dollar revenue decline in TCS's listed history (-0.5% reported, -2.4% constant currency).</t>
  </si>
  <si>
    <t xml:space="preserve">Assumptions and scenario drivers</t>
  </si>
  <si>
    <t xml:space="preserve">Blue = input. Yellow = key judgement. Change these and the whole model moves.</t>
  </si>
  <si>
    <t xml:space="preserve">1. Shared parameters</t>
  </si>
  <si>
    <t xml:space="preserve">FY26 revenue ($mn)  [actual]</t>
  </si>
  <si>
    <t xml:space="preserve">TCS Q4 FY26 press release</t>
  </si>
  <si>
    <t xml:space="preserve">FY26 closing headcount  [actual]</t>
  </si>
  <si>
    <t xml:space="preserve">TCS Q4 FY26 fact sheet</t>
  </si>
  <si>
    <t xml:space="preserve">FY26 revenue per employee ($)</t>
  </si>
  <si>
    <t xml:space="preserve">FY26 implied ₹/US$</t>
  </si>
  <si>
    <t xml:space="preserve">₹2,67,021 cr / $30,017mn</t>
  </si>
  <si>
    <t xml:space="preserve">₹ depreciation p.a.</t>
  </si>
  <si>
    <t xml:space="preserve">Long-run inflation differential</t>
  </si>
  <si>
    <t xml:space="preserve">Other income as % of revenue</t>
  </si>
  <si>
    <t xml:space="preserve">Treasury income on ~₹50,000 cr cash</t>
  </si>
  <si>
    <t xml:space="preserve">Effective tax rate</t>
  </si>
  <si>
    <t xml:space="preserve">FY26 effective rate</t>
  </si>
  <si>
    <t xml:space="preserve">Tata Sons stake in TCS</t>
  </si>
  <si>
    <t xml:space="preserve">2,59,54,99,419 shares = 71.74%</t>
  </si>
  <si>
    <t xml:space="preserve">TCS shares outstanding (crore)</t>
  </si>
  <si>
    <t xml:space="preserve">For DPS calculation</t>
  </si>
  <si>
    <t xml:space="preserve">2. Revenue decomposition by AI exposure  (FY26 base)</t>
  </si>
  <si>
    <t xml:space="preserve">Exposure bucket</t>
  </si>
  <si>
    <t xml:space="preserve">FY26 weight</t>
  </si>
  <si>
    <t xml:space="preserve">FY26 $mn</t>
  </si>
  <si>
    <t xml:space="preserve">Automatable share</t>
  </si>
  <si>
    <t xml:space="preserve">Gross rev at risk $mn</t>
  </si>
  <si>
    <t xml:space="preserve">Volume decay p.a.</t>
  </si>
  <si>
    <t xml:space="preserve">Application Development &amp; Maintenance (custom)</t>
  </si>
  <si>
    <t xml:space="preserve">Code generation, test automation and agentic L1/L2 support attack the core of this book. Largest single pool and the most exposed.</t>
  </si>
  <si>
    <t xml:space="preserve">Enterprise / Package Application Services</t>
  </si>
  <si>
    <t xml:space="preserve">SAP/Oracle/Salesforce migration and rollout. Config work automates; change management, data migration and integration hold value.</t>
  </si>
  <si>
    <t xml:space="preserve">Cloud &amp; Infrastructure Managed Services</t>
  </si>
  <si>
    <t xml:space="preserve">AIOps compresses run-cost; offset by AI-infrastructure build, GPU estate operations and the HyperVault adjacency.</t>
  </si>
  <si>
    <t xml:space="preserve">Business Process Services</t>
  </si>
  <si>
    <t xml:space="preserve">Most directly substitutable. Agentic workflows displace seat-based delivery; the FTE pricing model is the liability.</t>
  </si>
  <si>
    <t xml:space="preserve">Engineering &amp; R&amp;D Services</t>
  </si>
  <si>
    <t xml:space="preserve">Embedded, semiconductor, automotive software. Least substitutable near-term and structurally growing.</t>
  </si>
  <si>
    <t xml:space="preserve">Consulting, Data, AI &amp; Cybersecurity</t>
  </si>
  <si>
    <t xml:space="preserve">The growth engine. AI-native demand, data estate rebuild, model governance, security. TCS AI book already ~8.5% of revenue.</t>
  </si>
  <si>
    <t xml:space="preserve">Products &amp; Platforms (BaNCS, ignio, iON, ADD)</t>
  </si>
  <si>
    <t xml:space="preserve">IP-led, non-linear. AI raises product value rather than deflating it. Strategically under-scaled at ~5% of revenue.</t>
  </si>
  <si>
    <t xml:space="preserve">Total</t>
  </si>
  <si>
    <t xml:space="preserve">TCS has not disclosed a service-line revenue split since FY21. Weights are a reconstruction from the last disclosure, deal mix and peer structure — replace with internal MIS.</t>
  </si>
  <si>
    <t xml:space="preserve">3. Scenario drivers — Bull — AI Dividend</t>
  </si>
  <si>
    <t xml:space="preserve">Probability</t>
  </si>
  <si>
    <t xml:space="preserve">Per-bucket annual drivers</t>
  </si>
  <si>
    <t xml:space="preserve">Realisation deflation</t>
  </si>
  <si>
    <t xml:space="preserve">Volume growth</t>
  </si>
  <si>
    <t xml:space="preserve">Year-specific parameters</t>
  </si>
  <si>
    <t xml:space="preserve">FY27</t>
  </si>
  <si>
    <t xml:space="preserve">FY28</t>
  </si>
  <si>
    <t xml:space="preserve">FY29</t>
  </si>
  <si>
    <t xml:space="preserve">FY30</t>
  </si>
  <si>
    <t xml:space="preserve">FY31</t>
  </si>
  <si>
    <t xml:space="preserve">Deflation phasing multiplier</t>
  </si>
  <si>
    <t xml:space="preserve">Free cash flow / net income</t>
  </si>
  <si>
    <t xml:space="preserve">Dividend as % of free cash flow</t>
  </si>
  <si>
    <t xml:space="preserve">Revenue per employee growth p.a.</t>
  </si>
  <si>
    <t xml:space="preserve">3. Scenario drivers — Base — Managed Transition</t>
  </si>
  <si>
    <t xml:space="preserve">3. Scenario drivers — Bear — Slow Bleed</t>
  </si>
  <si>
    <t xml:space="preserve">3. Scenario drivers — Severe — Structural Break</t>
  </si>
  <si>
    <t xml:space="preserve">4. Tata Sons parent-level assumptions (₹ crore)</t>
  </si>
  <si>
    <t xml:space="preserve">Non-TCS dividend income, FY26 [actual]</t>
  </si>
  <si>
    <t xml:space="preserve">Total FY26 dividend income ₹32,528 cr less TCS ₹28,291 cr</t>
  </si>
  <si>
    <t xml:space="preserve">Non-TCS dividend growth p.a.</t>
  </si>
  <si>
    <t xml:space="preserve">Tata Motors, Tata Steel, Titan, Tata Power, TCPL, IHCL</t>
  </si>
  <si>
    <t xml:space="preserve">Parent opex, interest and tax, FY26</t>
  </si>
  <si>
    <t xml:space="preserve">Dividend income less reported operating cash flow of ₹25,544 cr</t>
  </si>
  <si>
    <t xml:space="preserve">Parent cost growth p.a.</t>
  </si>
  <si>
    <t xml:space="preserve">Opening net cash, FY26 [actual]</t>
  </si>
  <si>
    <t xml:space="preserve">No borrowings at FY26 close</t>
  </si>
  <si>
    <t xml:space="preserve">Equity deployment into strategic bets (₹ crore)</t>
  </si>
  <si>
    <t xml:space="preserve">Air India, Tata Electronics, Agratas, Tata Digital</t>
  </si>
  <si>
    <t xml:space="preserve">FY26 actual deployment was ₹15,956 cr (₹15,089 cr subsidiaries + ₹867 cr associates/JVs). Forward path reflects the Dholera fab (₹91,000 cr), Assam ATMP (₹27,000 cr), Air India fleet and Agratas. Held constant across scenarios by design — the commitments do not shrink because TCS slows.</t>
  </si>
  <si>
    <t xml:space="preserve">Revenue build by exposure bucket ($mn)</t>
  </si>
  <si>
    <t xml:space="preserve">Each year = prior year × (1 + volume growth × decay^n) × (1 + deflation × phasing)</t>
  </si>
  <si>
    <t xml:space="preserve">Bull — AI Dividend</t>
  </si>
  <si>
    <t xml:space="preserve">Total revenue ($mn)</t>
  </si>
  <si>
    <t xml:space="preserve">Growth, constant currency</t>
  </si>
  <si>
    <t xml:space="preserve">FY26–FY31 revenue CAGR</t>
  </si>
  <si>
    <t xml:space="preserve">Base — Managed Transition</t>
  </si>
  <si>
    <t xml:space="preserve">Bear — Slow Bleed</t>
  </si>
  <si>
    <t xml:space="preserve">Severe — Structural Break</t>
  </si>
  <si>
    <t xml:space="preserve">Scenario output — P&amp;L, cash, dividend and headcount</t>
  </si>
  <si>
    <t xml:space="preserve">FY26 column is actual. FY27–FY31 are model output.</t>
  </si>
  <si>
    <t xml:space="preserve">FY26A</t>
  </si>
  <si>
    <t xml:space="preserve">  growth, constant currency</t>
  </si>
  <si>
    <t xml:space="preserve">Operating income ($mn)</t>
  </si>
  <si>
    <t xml:space="preserve">Profit before tax ($mn)</t>
  </si>
  <si>
    <t xml:space="preserve">  net margin</t>
  </si>
  <si>
    <t xml:space="preserve">₹ / US$</t>
  </si>
  <si>
    <t xml:space="preserve">Free cash flow (₹ crore)</t>
  </si>
  <si>
    <t xml:space="preserve">Total dividend (₹ crore)</t>
  </si>
  <si>
    <t xml:space="preserve">Dividend to Tata Sons (₹ crore)</t>
  </si>
  <si>
    <t xml:space="preserve">  change vs FY26</t>
  </si>
  <si>
    <t xml:space="preserve">Cumulative dividend to Tata Sons, FY27–FY31 (₹ crore)</t>
  </si>
  <si>
    <t xml:space="preserve">Probability-weighted expected case</t>
  </si>
  <si>
    <t xml:space="preserve">Expected FY26–FY31 revenue CAGR</t>
  </si>
  <si>
    <t xml:space="preserve">Tata Sons — parent-level cash bridge (₹ crore)</t>
  </si>
  <si>
    <t xml:space="preserve">Does the TCS dividend still fund the group's strategic bets? Capital deployment is held constant across scenarios: the commitments do not shrink because TCS slows.</t>
  </si>
  <si>
    <t xml:space="preserve">Dividend from TCS</t>
  </si>
  <si>
    <t xml:space="preserve">Dividend from other listed holdings</t>
  </si>
  <si>
    <t xml:space="preserve">Total dividend inflow</t>
  </si>
  <si>
    <t xml:space="preserve">Parent opex, interest and tax</t>
  </si>
  <si>
    <t xml:space="preserve">Equity deployment into strategic bets</t>
  </si>
  <si>
    <t xml:space="preserve">Surplus / (deficit)</t>
  </si>
  <si>
    <t xml:space="preserve">Cumulative net cash</t>
  </si>
  <si>
    <t xml:space="preserve">TCS as % of dividend inflow</t>
  </si>
  <si>
    <t xml:space="preserve">Dividend cover of capital call (×)</t>
  </si>
  <si>
    <t xml:space="preserve">Cumulative surplus / (deficit) FY27–FY31</t>
  </si>
  <si>
    <t xml:space="preserve">Sensitivity — FY31 dividend to Tata Sons (₹ crore)</t>
  </si>
  <si>
    <t xml:space="preserve">Rows: FY26–FY31 revenue CAGR (constant currency).  Columns: FY31 operating margin.</t>
  </si>
  <si>
    <t xml:space="preserve">Fixed inputs for this grid</t>
  </si>
  <si>
    <t xml:space="preserve">FY26 revenue ($mn)</t>
  </si>
  <si>
    <t xml:space="preserve">FY31 ₹/US$</t>
  </si>
  <si>
    <t xml:space="preserve">FY31 dividend to Tata Sons (₹ crore)</t>
  </si>
  <si>
    <t xml:space="preserve">Revenue CAGR  \  FY31 margin</t>
  </si>
  <si>
    <t xml:space="preserve">Reference: Tata Sons received ₹28,291 crore from TCS in FY26 and ₹32,184 crore in FY25. Cells below ~₹28,000 crore mean the parent's dividend income does not recover to FY26 levels by FY31.</t>
  </si>
  <si>
    <t xml:space="preserve">Break-even check</t>
  </si>
  <si>
    <t xml:space="preserve">FY31 capital call on Tata Sons (₹ crore)</t>
  </si>
  <si>
    <t xml:space="preserve">Plus parent opex, interest and tax (₹ crore)</t>
  </si>
  <si>
    <t xml:space="preserve">Less non-TCS dividend income (₹ crore)</t>
  </si>
  <si>
    <t xml:space="preserve">TCS dividend to Tata Sons needed to break even in FY31</t>
  </si>
  <si>
    <t xml:space="preserve">Revenue at risk by exposure bucket</t>
  </si>
  <si>
    <t xml:space="preserve">Gross revenue at risk = FY26 revenue in the bucket × the share of its work AI can substantially automate by FY31. It is a measure of exposure, not of expected loss: what is actually lost depends on how much of the productivity gain is passed to the client and how far volume expands in response.</t>
  </si>
  <si>
    <t xml:space="preserve">Severe-case FY31 $mn</t>
  </si>
  <si>
    <t xml:space="preserve">Assessment</t>
  </si>
  <si>
    <t xml:space="preserve">Gross revenue at risk as % of FY26 revenue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</si>
</sst>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#,##0;\(#,##0\);\-"/>
    <numFmt numFmtId="168" formatCode="#,##0.0"/>
    <numFmt numFmtId="169" formatCode="\₹#,##0.0;&quot;(₹&quot;#,##0.0\);\-"/>
    <numFmt numFmtId="170" formatCode="\$#,##0"/>
    <numFmt numFmtId="171" formatCode="0.00"/>
    <numFmt numFmtId="172" formatCode="0.00%"/>
    <numFmt numFmtId="173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"/>
      <c r="B1" s="1"/>
      <c r="C1" s="1"/>
    </row>
    <row r="2" customFormat="false" ht="17.35" hidden="false" customHeight="false" outlineLevel="0" collapsed="false">
      <c r="A2" s="1"/>
      <c r="B2" s="2" t="s">
        <v>0</v>
      </c>
      <c r="C2" s="1"/>
    </row>
    <row r="3" customFormat="false" ht="15" hidden="false" customHeight="false" outlineLevel="0" collapsed="false">
      <c r="A3" s="1"/>
      <c r="B3" s="3" t="s">
        <v>1</v>
      </c>
      <c r="C3" s="1"/>
    </row>
    <row r="4" customFormat="false" ht="15" hidden="false" customHeight="false" outlineLevel="0" collapsed="false">
      <c r="A4" s="1"/>
      <c r="B4" s="1"/>
      <c r="C4" s="1"/>
    </row>
    <row r="5" customFormat="false" ht="15" hidden="false" customHeight="true" outlineLevel="0" collapsed="false">
      <c r="A5" s="1"/>
      <c r="B5" s="1"/>
      <c r="C5" s="4"/>
    </row>
    <row r="6" customFormat="false" ht="27.75" hidden="false" customHeight="true" outlineLevel="0" collapsed="false">
      <c r="A6" s="1"/>
      <c r="B6" s="5" t="s">
        <v>2</v>
      </c>
      <c r="C6" s="4" t="s">
        <v>3</v>
      </c>
    </row>
    <row r="7" customFormat="false" ht="27.75" hidden="false" customHeight="true" outlineLevel="0" collapsed="false">
      <c r="A7" s="1"/>
      <c r="B7" s="5" t="s">
        <v>4</v>
      </c>
      <c r="C7" s="4" t="s">
        <v>5</v>
      </c>
    </row>
    <row r="8" customFormat="false" ht="15" hidden="false" customHeight="true" outlineLevel="0" collapsed="false">
      <c r="A8" s="1"/>
      <c r="B8" s="1"/>
      <c r="C8" s="4"/>
    </row>
    <row r="9" customFormat="false" ht="15" hidden="false" customHeight="true" outlineLevel="0" collapsed="false">
      <c r="A9" s="1"/>
      <c r="B9" s="5" t="s">
        <v>6</v>
      </c>
      <c r="C9" s="4"/>
    </row>
    <row r="10" customFormat="false" ht="15" hidden="false" customHeight="true" outlineLevel="0" collapsed="false">
      <c r="A10" s="1"/>
      <c r="B10" s="6" t="s">
        <v>7</v>
      </c>
      <c r="C10" s="4" t="s">
        <v>8</v>
      </c>
    </row>
    <row r="11" customFormat="false" ht="15" hidden="false" customHeight="true" outlineLevel="0" collapsed="false">
      <c r="A11" s="1"/>
      <c r="B11" s="1" t="s">
        <v>9</v>
      </c>
      <c r="C11" s="4" t="s">
        <v>10</v>
      </c>
    </row>
    <row r="12" customFormat="false" ht="15" hidden="false" customHeight="true" outlineLevel="0" collapsed="false">
      <c r="A12" s="1"/>
      <c r="B12" s="7" t="s">
        <v>11</v>
      </c>
      <c r="C12" s="4" t="s">
        <v>12</v>
      </c>
    </row>
    <row r="13" customFormat="false" ht="15" hidden="false" customHeight="true" outlineLevel="0" collapsed="false">
      <c r="A13" s="1"/>
      <c r="B13" s="8" t="s">
        <v>13</v>
      </c>
      <c r="C13" s="4" t="s">
        <v>14</v>
      </c>
    </row>
    <row r="14" customFormat="false" ht="15" hidden="false" customHeight="true" outlineLevel="0" collapsed="false">
      <c r="A14" s="1"/>
      <c r="B14" s="1"/>
      <c r="C14" s="4"/>
    </row>
    <row r="15" customFormat="false" ht="15" hidden="false" customHeight="true" outlineLevel="0" collapsed="false">
      <c r="A15" s="1"/>
      <c r="B15" s="5" t="s">
        <v>15</v>
      </c>
      <c r="C15" s="4"/>
    </row>
    <row r="16" customFormat="false" ht="15" hidden="false" customHeight="true" outlineLevel="0" collapsed="false">
      <c r="A16" s="1"/>
      <c r="B16" s="1" t="s">
        <v>16</v>
      </c>
      <c r="C16" s="4" t="s">
        <v>17</v>
      </c>
    </row>
    <row r="17" customFormat="false" ht="15" hidden="false" customHeight="true" outlineLevel="0" collapsed="false">
      <c r="A17" s="1"/>
      <c r="B17" s="1" t="s">
        <v>18</v>
      </c>
      <c r="C17" s="4" t="s">
        <v>19</v>
      </c>
    </row>
    <row r="18" customFormat="false" ht="15" hidden="false" customHeight="true" outlineLevel="0" collapsed="false">
      <c r="A18" s="1"/>
      <c r="B18" s="1" t="s">
        <v>20</v>
      </c>
      <c r="C18" s="4" t="s">
        <v>21</v>
      </c>
    </row>
    <row r="19" customFormat="false" ht="15" hidden="false" customHeight="true" outlineLevel="0" collapsed="false">
      <c r="A19" s="1"/>
      <c r="B19" s="1" t="s">
        <v>22</v>
      </c>
      <c r="C19" s="4" t="s">
        <v>23</v>
      </c>
    </row>
    <row r="20" customFormat="false" ht="27.75" hidden="false" customHeight="true" outlineLevel="0" collapsed="false">
      <c r="A20" s="1"/>
      <c r="B20" s="1" t="s">
        <v>24</v>
      </c>
      <c r="C20" s="4" t="s">
        <v>25</v>
      </c>
    </row>
    <row r="21" customFormat="false" ht="15" hidden="false" customHeight="true" outlineLevel="0" collapsed="false">
      <c r="A21" s="1"/>
      <c r="B21" s="1" t="s">
        <v>26</v>
      </c>
      <c r="C21" s="4" t="s">
        <v>27</v>
      </c>
    </row>
    <row r="22" customFormat="false" ht="15" hidden="false" customHeight="true" outlineLevel="0" collapsed="false">
      <c r="A22" s="1"/>
      <c r="B22" s="1" t="s">
        <v>28</v>
      </c>
      <c r="C22" s="4" t="s">
        <v>29</v>
      </c>
    </row>
    <row r="23" customFormat="false" ht="15" hidden="false" customHeight="true" outlineLevel="0" collapsed="false">
      <c r="A23" s="1"/>
      <c r="B23" s="1"/>
      <c r="C23" s="4"/>
    </row>
    <row r="24" customFormat="false" ht="27.75" hidden="false" customHeight="true" outlineLevel="0" collapsed="false">
      <c r="A24" s="1"/>
      <c r="B24" s="5" t="s">
        <v>30</v>
      </c>
      <c r="C24" s="4" t="s">
        <v>31</v>
      </c>
    </row>
    <row r="25" customFormat="false" ht="15" hidden="false" customHeight="true" outlineLevel="0" collapsed="false">
      <c r="A25" s="1"/>
      <c r="B25" s="1"/>
      <c r="C25" s="4"/>
    </row>
    <row r="26" customFormat="false" ht="27.75" hidden="false" customHeight="true" outlineLevel="0" collapsed="false">
      <c r="A26" s="1"/>
      <c r="B26" s="5" t="s">
        <v>32</v>
      </c>
      <c r="C26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13"/>
  </cols>
  <sheetData>
    <row r="1" customFormat="false" ht="17.35" hidden="false" customHeight="false" outlineLevel="0" collapsed="false">
      <c r="A1" s="2" t="s">
        <v>34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35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9" t="s">
        <v>36</v>
      </c>
      <c r="B4" s="9" t="s">
        <v>37</v>
      </c>
      <c r="C4" s="9" t="s">
        <v>38</v>
      </c>
      <c r="D4" s="9" t="s">
        <v>39</v>
      </c>
      <c r="E4" s="9" t="s">
        <v>40</v>
      </c>
      <c r="F4" s="9" t="s">
        <v>41</v>
      </c>
      <c r="G4" s="9" t="s">
        <v>42</v>
      </c>
    </row>
    <row r="5" customFormat="false" ht="15" hidden="false" customHeight="false" outlineLevel="0" collapsed="false">
      <c r="A5" s="1" t="s">
        <v>43</v>
      </c>
      <c r="B5" s="10" t="n">
        <v>25707</v>
      </c>
      <c r="C5" s="10" t="n">
        <v>27927</v>
      </c>
      <c r="D5" s="10" t="n">
        <v>29080</v>
      </c>
      <c r="E5" s="10" t="n">
        <v>30180</v>
      </c>
      <c r="F5" s="10" t="n">
        <v>30017</v>
      </c>
      <c r="G5" s="10" t="n">
        <v>7624</v>
      </c>
    </row>
    <row r="6" customFormat="false" ht="15" hidden="false" customHeight="false" outlineLevel="0" collapsed="false">
      <c r="A6" s="1" t="s">
        <v>44</v>
      </c>
      <c r="B6" s="11" t="n">
        <v>0.157</v>
      </c>
      <c r="C6" s="11" t="n">
        <v>0.086</v>
      </c>
      <c r="D6" s="11" t="n">
        <v>0.041</v>
      </c>
      <c r="E6" s="11" t="n">
        <v>0.038</v>
      </c>
      <c r="F6" s="11" t="n">
        <v>-0.005</v>
      </c>
      <c r="G6" s="11"/>
    </row>
    <row r="7" customFormat="false" ht="15" hidden="false" customHeight="false" outlineLevel="0" collapsed="false">
      <c r="A7" s="1" t="s">
        <v>45</v>
      </c>
      <c r="B7" s="11" t="n">
        <v>0.157</v>
      </c>
      <c r="C7" s="11" t="n">
        <v>0.138</v>
      </c>
      <c r="D7" s="11" t="n">
        <v>0.034</v>
      </c>
      <c r="E7" s="11" t="n">
        <v>0.042</v>
      </c>
      <c r="F7" s="11" t="n">
        <v>-0.024</v>
      </c>
      <c r="G7" s="11" t="n">
        <v>0.032</v>
      </c>
    </row>
    <row r="8" customFormat="false" ht="15" hidden="false" customHeight="false" outlineLevel="0" collapsed="false">
      <c r="A8" s="1" t="s">
        <v>46</v>
      </c>
      <c r="B8" s="11" t="n">
        <v>0.25</v>
      </c>
      <c r="C8" s="11" t="n">
        <v>0.244</v>
      </c>
      <c r="D8" s="11" t="n">
        <v>0.246</v>
      </c>
      <c r="E8" s="11" t="n">
        <v>0.243</v>
      </c>
      <c r="F8" s="11" t="n">
        <v>0.25</v>
      </c>
      <c r="G8" s="11" t="n">
        <v>0.24</v>
      </c>
    </row>
    <row r="9" customFormat="false" ht="15" hidden="false" customHeight="false" outlineLevel="0" collapsed="false">
      <c r="A9" s="1" t="s">
        <v>47</v>
      </c>
      <c r="B9" s="11" t="n">
        <v>0.204</v>
      </c>
      <c r="C9" s="11" t="n">
        <v>0.192</v>
      </c>
      <c r="D9" s="11" t="n">
        <v>0.196</v>
      </c>
      <c r="E9" s="11" t="n">
        <v>0.19</v>
      </c>
      <c r="F9" s="11" t="n">
        <v>0.198</v>
      </c>
      <c r="G9" s="11" t="n">
        <v>0.192</v>
      </c>
    </row>
    <row r="10" customFormat="false" ht="15" hidden="false" customHeight="false" outlineLevel="0" collapsed="false">
      <c r="A10" s="1" t="s">
        <v>48</v>
      </c>
      <c r="B10" s="10" t="n">
        <v>5240</v>
      </c>
      <c r="C10" s="10" t="n">
        <v>5364</v>
      </c>
      <c r="D10" s="10" t="n">
        <v>5697</v>
      </c>
      <c r="E10" s="10" t="n">
        <v>5739</v>
      </c>
      <c r="F10" s="10" t="n">
        <v>5938</v>
      </c>
      <c r="G10" s="10" t="n">
        <v>1460</v>
      </c>
    </row>
    <row r="11" customFormat="false" ht="15" hidden="false" customHeight="false" outlineLevel="0" collapsed="false">
      <c r="A11" s="1" t="s">
        <v>49</v>
      </c>
      <c r="B11" s="12" t="n">
        <v>191754</v>
      </c>
      <c r="C11" s="12" t="n">
        <v>225458</v>
      </c>
      <c r="D11" s="12" t="n">
        <v>240893</v>
      </c>
      <c r="E11" s="12" t="n">
        <v>255324</v>
      </c>
      <c r="F11" s="12" t="n">
        <v>267021</v>
      </c>
      <c r="G11" s="12"/>
    </row>
    <row r="12" customFormat="false" ht="15" hidden="false" customHeight="false" outlineLevel="0" collapsed="false">
      <c r="A12" s="1" t="s">
        <v>50</v>
      </c>
      <c r="B12" s="12" t="n">
        <v>38449</v>
      </c>
      <c r="C12" s="12" t="n">
        <v>42303</v>
      </c>
      <c r="D12" s="12" t="n">
        <v>46099</v>
      </c>
      <c r="E12" s="12" t="n">
        <v>48797</v>
      </c>
      <c r="F12" s="12" t="n">
        <v>49454</v>
      </c>
      <c r="G12" s="12"/>
    </row>
    <row r="13" customFormat="false" ht="15" hidden="false" customHeight="false" outlineLevel="0" collapsed="false">
      <c r="A13" s="1" t="s">
        <v>51</v>
      </c>
      <c r="B13" s="13" t="n">
        <v>34.6</v>
      </c>
      <c r="C13" s="13" t="n">
        <v>34.1</v>
      </c>
      <c r="D13" s="13" t="n">
        <v>42.7</v>
      </c>
      <c r="E13" s="13" t="n">
        <v>39.4</v>
      </c>
      <c r="F13" s="13" t="n">
        <v>40.7</v>
      </c>
      <c r="G13" s="13" t="n">
        <v>9.5</v>
      </c>
    </row>
    <row r="14" customFormat="false" ht="15" hidden="false" customHeight="false" outlineLevel="0" collapsed="false">
      <c r="A14" s="1" t="s">
        <v>52</v>
      </c>
      <c r="B14" s="12" t="n">
        <v>592195</v>
      </c>
      <c r="C14" s="12" t="n">
        <v>614795</v>
      </c>
      <c r="D14" s="12" t="n">
        <v>601546</v>
      </c>
      <c r="E14" s="12" t="n">
        <v>607979</v>
      </c>
      <c r="F14" s="12" t="n">
        <v>584519</v>
      </c>
      <c r="G14" s="12" t="n">
        <v>593798</v>
      </c>
    </row>
    <row r="15" customFormat="false" ht="15" hidden="false" customHeight="false" outlineLevel="0" collapsed="false">
      <c r="A15" s="1" t="s">
        <v>53</v>
      </c>
      <c r="B15" s="14" t="n">
        <v>43</v>
      </c>
      <c r="C15" s="14" t="n">
        <v>115</v>
      </c>
      <c r="D15" s="14" t="n">
        <v>73</v>
      </c>
      <c r="E15" s="14" t="n">
        <v>126</v>
      </c>
      <c r="F15" s="14" t="n">
        <v>110</v>
      </c>
      <c r="G15" s="14" t="n">
        <v>12</v>
      </c>
    </row>
    <row r="16" customFormat="false" ht="15" hidden="false" customHeight="false" outlineLevel="0" collapsed="false">
      <c r="A16" s="1" t="s">
        <v>54</v>
      </c>
      <c r="B16" s="12" t="n">
        <v>15671</v>
      </c>
      <c r="C16" s="12" t="n">
        <v>42084</v>
      </c>
      <c r="D16" s="12" t="n">
        <v>26411</v>
      </c>
      <c r="E16" s="12" t="n">
        <v>44962</v>
      </c>
      <c r="F16" s="12" t="n">
        <v>39571</v>
      </c>
      <c r="G16" s="12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5" t="s">
        <v>55</v>
      </c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" t="s">
        <v>56</v>
      </c>
      <c r="B19" s="15" t="n">
        <f aca="false">B5*1000000/B14</f>
        <v>43409.6876873327</v>
      </c>
      <c r="C19" s="15" t="n">
        <f aca="false">C5*1000000/C14</f>
        <v>45424.8977301377</v>
      </c>
      <c r="D19" s="15" t="n">
        <f aca="false">D5*1000000/D14</f>
        <v>48342.105175664</v>
      </c>
      <c r="E19" s="15" t="n">
        <f aca="false">E5*1000000/E14</f>
        <v>49639.8724298043</v>
      </c>
      <c r="F19" s="15" t="n">
        <f aca="false">F5*1000000/F14</f>
        <v>51353.334964304</v>
      </c>
      <c r="G19" s="1"/>
    </row>
    <row r="20" customFormat="false" ht="15" hidden="false" customHeight="false" outlineLevel="0" collapsed="false">
      <c r="A20" s="1" t="s">
        <v>57</v>
      </c>
      <c r="B20" s="16" t="n">
        <f aca="false">B11*10/B5</f>
        <v>74.5921344380908</v>
      </c>
      <c r="C20" s="16" t="n">
        <f aca="false">C11*10/C5</f>
        <v>80.7311920363806</v>
      </c>
      <c r="D20" s="16" t="n">
        <f aca="false">D11*10/D5</f>
        <v>82.8380330123796</v>
      </c>
      <c r="E20" s="16" t="n">
        <f aca="false">E11*10/E5</f>
        <v>84.6003976143141</v>
      </c>
      <c r="F20" s="16" t="n">
        <f aca="false">F11*10/F5</f>
        <v>88.9565912649499</v>
      </c>
      <c r="G20" s="1"/>
    </row>
    <row r="21" customFormat="false" ht="15" hidden="false" customHeight="false" outlineLevel="0" collapsed="false">
      <c r="A21" s="1" t="s">
        <v>58</v>
      </c>
      <c r="B21" s="17" t="n">
        <f aca="false">B16/B12</f>
        <v>0.407578870711852</v>
      </c>
      <c r="C21" s="17" t="n">
        <f aca="false">C16/C12</f>
        <v>0.994823062194171</v>
      </c>
      <c r="D21" s="17" t="n">
        <f aca="false">D16/D12</f>
        <v>0.572919152259268</v>
      </c>
      <c r="E21" s="17" t="n">
        <f aca="false">E16/E12</f>
        <v>0.921409103018628</v>
      </c>
      <c r="F21" s="17" t="n">
        <f aca="false">F16/F12</f>
        <v>0.80015772232782</v>
      </c>
      <c r="G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</row>
    <row r="23" customFormat="false" ht="15" hidden="false" customHeight="false" outlineLevel="0" collapsed="false">
      <c r="A23" s="3" t="s">
        <v>59</v>
      </c>
      <c r="B23" s="1"/>
      <c r="C23" s="1"/>
      <c r="D23" s="1"/>
      <c r="E23" s="1"/>
      <c r="F23" s="1"/>
      <c r="G23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3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2" t="s">
        <v>60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" t="s">
        <v>61</v>
      </c>
      <c r="B2" s="1"/>
      <c r="C2" s="1"/>
      <c r="D2" s="1"/>
      <c r="E2" s="1"/>
      <c r="F2" s="1"/>
      <c r="G2" s="1"/>
      <c r="H2" s="1"/>
      <c r="I2" s="1"/>
      <c r="J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15" hidden="false" customHeight="false" outlineLevel="0" collapsed="false">
      <c r="A4" s="18" t="s">
        <v>62</v>
      </c>
      <c r="B4" s="18"/>
      <c r="C4" s="18"/>
      <c r="D4" s="18"/>
      <c r="E4" s="18"/>
      <c r="F4" s="18"/>
      <c r="G4" s="18"/>
      <c r="H4" s="18"/>
      <c r="I4" s="18"/>
      <c r="J4" s="1"/>
    </row>
    <row r="5" customFormat="false" ht="15" hidden="false" customHeight="false" outlineLevel="0" collapsed="false">
      <c r="A5" s="1" t="s">
        <v>63</v>
      </c>
      <c r="B5" s="10" t="n">
        <v>30017</v>
      </c>
      <c r="C5" s="1"/>
      <c r="D5" s="1"/>
      <c r="E5" s="1"/>
      <c r="F5" s="1"/>
      <c r="G5" s="1"/>
      <c r="H5" s="1"/>
      <c r="I5" s="1"/>
      <c r="J5" s="3" t="s">
        <v>64</v>
      </c>
    </row>
    <row r="6" customFormat="false" ht="15" hidden="false" customHeight="false" outlineLevel="0" collapsed="false">
      <c r="A6" s="1" t="s">
        <v>65</v>
      </c>
      <c r="B6" s="12" t="n">
        <v>584519</v>
      </c>
      <c r="C6" s="1"/>
      <c r="D6" s="1"/>
      <c r="E6" s="1"/>
      <c r="F6" s="1"/>
      <c r="G6" s="1"/>
      <c r="H6" s="1"/>
      <c r="I6" s="1"/>
      <c r="J6" s="3" t="s">
        <v>66</v>
      </c>
    </row>
    <row r="7" customFormat="false" ht="15" hidden="false" customHeight="false" outlineLevel="0" collapsed="false">
      <c r="A7" s="1" t="s">
        <v>67</v>
      </c>
      <c r="B7" s="19" t="n">
        <v>51353</v>
      </c>
      <c r="C7" s="1"/>
      <c r="D7" s="1"/>
      <c r="E7" s="1"/>
      <c r="F7" s="1"/>
      <c r="G7" s="1"/>
      <c r="H7" s="1"/>
      <c r="I7" s="1"/>
      <c r="J7" s="3" t="s">
        <v>55</v>
      </c>
    </row>
    <row r="8" customFormat="false" ht="15" hidden="false" customHeight="false" outlineLevel="0" collapsed="false">
      <c r="A8" s="1" t="s">
        <v>68</v>
      </c>
      <c r="B8" s="20" t="n">
        <v>88.96</v>
      </c>
      <c r="C8" s="1"/>
      <c r="D8" s="1"/>
      <c r="E8" s="1"/>
      <c r="F8" s="1"/>
      <c r="G8" s="1"/>
      <c r="H8" s="1"/>
      <c r="I8" s="1"/>
      <c r="J8" s="3" t="s">
        <v>69</v>
      </c>
    </row>
    <row r="9" customFormat="false" ht="15" hidden="false" customHeight="false" outlineLevel="0" collapsed="false">
      <c r="A9" s="1" t="s">
        <v>70</v>
      </c>
      <c r="B9" s="21" t="n">
        <v>0.02</v>
      </c>
      <c r="C9" s="1"/>
      <c r="D9" s="1"/>
      <c r="E9" s="1"/>
      <c r="F9" s="1"/>
      <c r="G9" s="1"/>
      <c r="H9" s="1"/>
      <c r="I9" s="1"/>
      <c r="J9" s="3" t="s">
        <v>71</v>
      </c>
    </row>
    <row r="10" customFormat="false" ht="15" hidden="false" customHeight="false" outlineLevel="0" collapsed="false">
      <c r="A10" s="1" t="s">
        <v>72</v>
      </c>
      <c r="B10" s="11" t="n">
        <v>0.016</v>
      </c>
      <c r="C10" s="1"/>
      <c r="D10" s="1"/>
      <c r="E10" s="1"/>
      <c r="F10" s="1"/>
      <c r="G10" s="1"/>
      <c r="H10" s="1"/>
      <c r="I10" s="1"/>
      <c r="J10" s="3" t="s">
        <v>73</v>
      </c>
    </row>
    <row r="11" customFormat="false" ht="15" hidden="false" customHeight="false" outlineLevel="0" collapsed="false">
      <c r="A11" s="1" t="s">
        <v>74</v>
      </c>
      <c r="B11" s="11" t="n">
        <v>0.255</v>
      </c>
      <c r="C11" s="1"/>
      <c r="D11" s="1"/>
      <c r="E11" s="1"/>
      <c r="F11" s="1"/>
      <c r="G11" s="1"/>
      <c r="H11" s="1"/>
      <c r="I11" s="1"/>
      <c r="J11" s="3" t="s">
        <v>75</v>
      </c>
    </row>
    <row r="12" customFormat="false" ht="15" hidden="false" customHeight="false" outlineLevel="0" collapsed="false">
      <c r="A12" s="1" t="s">
        <v>76</v>
      </c>
      <c r="B12" s="22" t="n">
        <v>0.7174</v>
      </c>
      <c r="C12" s="1"/>
      <c r="D12" s="1"/>
      <c r="E12" s="1"/>
      <c r="F12" s="1"/>
      <c r="G12" s="1"/>
      <c r="H12" s="1"/>
      <c r="I12" s="1"/>
      <c r="J12" s="3" t="s">
        <v>77</v>
      </c>
    </row>
    <row r="13" customFormat="false" ht="15" hidden="false" customHeight="false" outlineLevel="0" collapsed="false">
      <c r="A13" s="1" t="s">
        <v>78</v>
      </c>
      <c r="B13" s="13" t="n">
        <v>361.8</v>
      </c>
      <c r="C13" s="1"/>
      <c r="D13" s="1"/>
      <c r="E13" s="1"/>
      <c r="F13" s="1"/>
      <c r="G13" s="1"/>
      <c r="H13" s="1"/>
      <c r="I13" s="1"/>
      <c r="J13" s="3" t="s">
        <v>79</v>
      </c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customFormat="false" ht="15" hidden="false" customHeight="false" outlineLevel="0" collapsed="false">
      <c r="A15" s="18" t="s">
        <v>80</v>
      </c>
      <c r="B15" s="18"/>
      <c r="C15" s="18"/>
      <c r="D15" s="18"/>
      <c r="E15" s="18"/>
      <c r="F15" s="18"/>
      <c r="G15" s="18"/>
      <c r="H15" s="18"/>
      <c r="I15" s="18"/>
      <c r="J15" s="1"/>
    </row>
    <row r="16" customFormat="false" ht="30" hidden="false" customHeight="true" outlineLevel="0" collapsed="false">
      <c r="A16" s="23" t="s">
        <v>81</v>
      </c>
      <c r="B16" s="23" t="s">
        <v>82</v>
      </c>
      <c r="C16" s="23" t="s">
        <v>83</v>
      </c>
      <c r="D16" s="23" t="s">
        <v>84</v>
      </c>
      <c r="E16" s="23" t="s">
        <v>85</v>
      </c>
      <c r="F16" s="23" t="s">
        <v>86</v>
      </c>
      <c r="G16" s="1"/>
      <c r="H16" s="1"/>
      <c r="I16" s="1"/>
      <c r="J16" s="1"/>
    </row>
    <row r="17" customFormat="false" ht="30" hidden="false" customHeight="true" outlineLevel="0" collapsed="false">
      <c r="A17" s="1" t="s">
        <v>87</v>
      </c>
      <c r="B17" s="21" t="n">
        <v>0.32</v>
      </c>
      <c r="C17" s="24" t="n">
        <f aca="false">B17*$B$5</f>
        <v>9605.44</v>
      </c>
      <c r="D17" s="21" t="n">
        <v>0.55</v>
      </c>
      <c r="E17" s="24" t="n">
        <f aca="false">C17*D17</f>
        <v>5282.992</v>
      </c>
      <c r="F17" s="20" t="n">
        <v>1</v>
      </c>
      <c r="G17" s="1"/>
      <c r="H17" s="1"/>
      <c r="I17" s="1"/>
      <c r="J17" s="25" t="s">
        <v>88</v>
      </c>
    </row>
    <row r="18" customFormat="false" ht="30" hidden="false" customHeight="true" outlineLevel="0" collapsed="false">
      <c r="A18" s="1" t="s">
        <v>89</v>
      </c>
      <c r="B18" s="21" t="n">
        <v>0.13</v>
      </c>
      <c r="C18" s="24" t="n">
        <f aca="false">B18*$B$5</f>
        <v>3902.21</v>
      </c>
      <c r="D18" s="21" t="n">
        <v>0.4</v>
      </c>
      <c r="E18" s="24" t="n">
        <f aca="false">C18*D18</f>
        <v>1560.884</v>
      </c>
      <c r="F18" s="20" t="n">
        <v>1</v>
      </c>
      <c r="G18" s="1"/>
      <c r="H18" s="1"/>
      <c r="I18" s="1"/>
      <c r="J18" s="25" t="s">
        <v>90</v>
      </c>
    </row>
    <row r="19" customFormat="false" ht="30" hidden="false" customHeight="true" outlineLevel="0" collapsed="false">
      <c r="A19" s="1" t="s">
        <v>91</v>
      </c>
      <c r="B19" s="21" t="n">
        <v>0.16</v>
      </c>
      <c r="C19" s="24" t="n">
        <f aca="false">B19*$B$5</f>
        <v>4802.72</v>
      </c>
      <c r="D19" s="21" t="n">
        <v>0.5</v>
      </c>
      <c r="E19" s="24" t="n">
        <f aca="false">C19*D19</f>
        <v>2401.36</v>
      </c>
      <c r="F19" s="20" t="n">
        <v>1</v>
      </c>
      <c r="G19" s="1"/>
      <c r="H19" s="1"/>
      <c r="I19" s="1"/>
      <c r="J19" s="25" t="s">
        <v>92</v>
      </c>
    </row>
    <row r="20" customFormat="false" ht="30" hidden="false" customHeight="true" outlineLevel="0" collapsed="false">
      <c r="A20" s="1" t="s">
        <v>93</v>
      </c>
      <c r="B20" s="21" t="n">
        <v>0.1</v>
      </c>
      <c r="C20" s="24" t="n">
        <f aca="false">B20*$B$5</f>
        <v>3001.7</v>
      </c>
      <c r="D20" s="21" t="n">
        <v>0.65</v>
      </c>
      <c r="E20" s="24" t="n">
        <f aca="false">C20*D20</f>
        <v>1951.105</v>
      </c>
      <c r="F20" s="20" t="n">
        <v>1</v>
      </c>
      <c r="G20" s="1"/>
      <c r="H20" s="1"/>
      <c r="I20" s="1"/>
      <c r="J20" s="25" t="s">
        <v>94</v>
      </c>
    </row>
    <row r="21" customFormat="false" ht="30" hidden="false" customHeight="true" outlineLevel="0" collapsed="false">
      <c r="A21" s="1" t="s">
        <v>95</v>
      </c>
      <c r="B21" s="21" t="n">
        <v>0.09</v>
      </c>
      <c r="C21" s="24" t="n">
        <f aca="false">B21*$B$5</f>
        <v>2701.53</v>
      </c>
      <c r="D21" s="21" t="n">
        <v>0.25</v>
      </c>
      <c r="E21" s="24" t="n">
        <f aca="false">C21*D21</f>
        <v>675.3825</v>
      </c>
      <c r="F21" s="20" t="n">
        <v>1</v>
      </c>
      <c r="G21" s="1"/>
      <c r="H21" s="1"/>
      <c r="I21" s="1"/>
      <c r="J21" s="25" t="s">
        <v>96</v>
      </c>
    </row>
    <row r="22" customFormat="false" ht="30" hidden="false" customHeight="true" outlineLevel="0" collapsed="false">
      <c r="A22" s="1" t="s">
        <v>97</v>
      </c>
      <c r="B22" s="21" t="n">
        <v>0.15</v>
      </c>
      <c r="C22" s="24" t="n">
        <f aca="false">B22*$B$5</f>
        <v>4502.55</v>
      </c>
      <c r="D22" s="21" t="n">
        <v>0.15</v>
      </c>
      <c r="E22" s="24" t="n">
        <f aca="false">C22*D22</f>
        <v>675.3825</v>
      </c>
      <c r="F22" s="20" t="n">
        <v>0.88</v>
      </c>
      <c r="G22" s="1"/>
      <c r="H22" s="1"/>
      <c r="I22" s="1"/>
      <c r="J22" s="25" t="s">
        <v>98</v>
      </c>
    </row>
    <row r="23" customFormat="false" ht="30" hidden="false" customHeight="true" outlineLevel="0" collapsed="false">
      <c r="A23" s="1" t="s">
        <v>99</v>
      </c>
      <c r="B23" s="21" t="n">
        <v>0.05</v>
      </c>
      <c r="C23" s="24" t="n">
        <f aca="false">B23*$B$5</f>
        <v>1500.85</v>
      </c>
      <c r="D23" s="21" t="n">
        <v>0.1</v>
      </c>
      <c r="E23" s="24" t="n">
        <f aca="false">C23*D23</f>
        <v>150.085</v>
      </c>
      <c r="F23" s="20" t="n">
        <v>0.92</v>
      </c>
      <c r="G23" s="1"/>
      <c r="H23" s="1"/>
      <c r="I23" s="1"/>
      <c r="J23" s="25" t="s">
        <v>100</v>
      </c>
    </row>
    <row r="24" customFormat="false" ht="15" hidden="false" customHeight="false" outlineLevel="0" collapsed="false">
      <c r="A24" s="5" t="s">
        <v>101</v>
      </c>
      <c r="B24" s="26" t="n">
        <f aca="false">SUM(B17:B23)</f>
        <v>1</v>
      </c>
      <c r="C24" s="27" t="n">
        <f aca="false">SUM(C17:C23)</f>
        <v>30017</v>
      </c>
      <c r="D24" s="1"/>
      <c r="E24" s="27" t="n">
        <f aca="false">SUM(E17:E23)</f>
        <v>12697.191</v>
      </c>
      <c r="F24" s="1"/>
      <c r="G24" s="1"/>
      <c r="H24" s="1"/>
      <c r="I24" s="1"/>
      <c r="J24" s="1"/>
    </row>
    <row r="25" customFormat="false" ht="15" hidden="false" customHeight="false" outlineLevel="0" collapsed="false">
      <c r="A25" s="3" t="s">
        <v>102</v>
      </c>
      <c r="B25" s="1"/>
      <c r="C25" s="1"/>
      <c r="D25" s="1"/>
      <c r="E25" s="1"/>
      <c r="F25" s="1"/>
      <c r="G25" s="1"/>
      <c r="H25" s="1"/>
      <c r="I25" s="1"/>
      <c r="J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customFormat="false" ht="15" hidden="false" customHeight="false" outlineLevel="0" collapsed="false">
      <c r="A28" s="18" t="s">
        <v>103</v>
      </c>
      <c r="B28" s="18"/>
      <c r="C28" s="18"/>
      <c r="D28" s="18"/>
      <c r="E28" s="18"/>
      <c r="F28" s="18"/>
      <c r="G28" s="18"/>
      <c r="H28" s="18" t="s">
        <v>104</v>
      </c>
      <c r="I28" s="28" t="n">
        <v>0.15</v>
      </c>
      <c r="J28" s="1"/>
    </row>
    <row r="29" customFormat="false" ht="27.75" hidden="false" customHeight="true" outlineLevel="0" collapsed="false">
      <c r="A29" s="29" t="s">
        <v>105</v>
      </c>
      <c r="B29" s="23" t="s">
        <v>106</v>
      </c>
      <c r="C29" s="23" t="s">
        <v>107</v>
      </c>
      <c r="D29" s="1"/>
      <c r="E29" s="1"/>
      <c r="F29" s="1"/>
      <c r="G29" s="1"/>
      <c r="H29" s="1"/>
      <c r="I29" s="1"/>
      <c r="J29" s="1"/>
    </row>
    <row r="30" customFormat="false" ht="15" hidden="false" customHeight="false" outlineLevel="0" collapsed="false">
      <c r="A30" s="1" t="s">
        <v>87</v>
      </c>
      <c r="B30" s="21" t="n">
        <v>-0.05</v>
      </c>
      <c r="C30" s="21" t="n">
        <v>0.09</v>
      </c>
      <c r="D30" s="1"/>
      <c r="E30" s="1"/>
      <c r="F30" s="1"/>
      <c r="G30" s="1"/>
      <c r="H30" s="1"/>
      <c r="I30" s="1"/>
      <c r="J30" s="1"/>
    </row>
    <row r="31" customFormat="false" ht="15" hidden="false" customHeight="false" outlineLevel="0" collapsed="false">
      <c r="A31" s="1" t="s">
        <v>89</v>
      </c>
      <c r="B31" s="21" t="n">
        <v>-0.03</v>
      </c>
      <c r="C31" s="21" t="n">
        <v>0.1</v>
      </c>
      <c r="D31" s="1"/>
      <c r="E31" s="1"/>
      <c r="F31" s="1"/>
      <c r="G31" s="1"/>
      <c r="H31" s="1"/>
      <c r="I31" s="1"/>
      <c r="J31" s="1"/>
    </row>
    <row r="32" customFormat="false" ht="15" hidden="false" customHeight="false" outlineLevel="0" collapsed="false">
      <c r="A32" s="1" t="s">
        <v>91</v>
      </c>
      <c r="B32" s="21" t="n">
        <v>-0.04</v>
      </c>
      <c r="C32" s="21" t="n">
        <v>0.12</v>
      </c>
      <c r="D32" s="1"/>
      <c r="E32" s="1"/>
      <c r="F32" s="1"/>
      <c r="G32" s="1"/>
      <c r="H32" s="1"/>
      <c r="I32" s="1"/>
      <c r="J32" s="1"/>
    </row>
    <row r="33" customFormat="false" ht="15" hidden="false" customHeight="false" outlineLevel="0" collapsed="false">
      <c r="A33" s="1" t="s">
        <v>93</v>
      </c>
      <c r="B33" s="21" t="n">
        <v>-0.06</v>
      </c>
      <c r="C33" s="21" t="n">
        <v>0.1</v>
      </c>
      <c r="D33" s="1"/>
      <c r="E33" s="1"/>
      <c r="F33" s="1"/>
      <c r="G33" s="1"/>
      <c r="H33" s="1"/>
      <c r="I33" s="1"/>
      <c r="J33" s="1"/>
    </row>
    <row r="34" customFormat="false" ht="15" hidden="false" customHeight="false" outlineLevel="0" collapsed="false">
      <c r="A34" s="1" t="s">
        <v>95</v>
      </c>
      <c r="B34" s="21" t="n">
        <v>-0.01</v>
      </c>
      <c r="C34" s="21" t="n">
        <v>0.12</v>
      </c>
      <c r="D34" s="1"/>
      <c r="E34" s="1"/>
      <c r="F34" s="1"/>
      <c r="G34" s="1"/>
      <c r="H34" s="1"/>
      <c r="I34" s="1"/>
      <c r="J34" s="1"/>
    </row>
    <row r="35" customFormat="false" ht="15" hidden="false" customHeight="false" outlineLevel="0" collapsed="false">
      <c r="A35" s="1" t="s">
        <v>97</v>
      </c>
      <c r="B35" s="21" t="n">
        <v>0</v>
      </c>
      <c r="C35" s="21" t="n">
        <v>0.26</v>
      </c>
      <c r="D35" s="1"/>
      <c r="E35" s="1"/>
      <c r="F35" s="1"/>
      <c r="G35" s="1"/>
      <c r="H35" s="1"/>
      <c r="I35" s="1"/>
      <c r="J35" s="1"/>
    </row>
    <row r="36" customFormat="false" ht="15" hidden="false" customHeight="false" outlineLevel="0" collapsed="false">
      <c r="A36" s="1" t="s">
        <v>99</v>
      </c>
      <c r="B36" s="21" t="n">
        <v>0</v>
      </c>
      <c r="C36" s="21" t="n">
        <v>0.16</v>
      </c>
      <c r="D36" s="1"/>
      <c r="E36" s="1"/>
      <c r="F36" s="1"/>
      <c r="G36" s="1"/>
      <c r="H36" s="1"/>
      <c r="I36" s="1"/>
      <c r="J36" s="1"/>
    </row>
    <row r="37" customFormat="false" ht="15" hidden="false" customHeight="false" outlineLevel="0" collapsed="false">
      <c r="A37" s="29" t="s">
        <v>108</v>
      </c>
      <c r="B37" s="30" t="s">
        <v>109</v>
      </c>
      <c r="C37" s="30" t="s">
        <v>110</v>
      </c>
      <c r="D37" s="30" t="s">
        <v>111</v>
      </c>
      <c r="E37" s="30" t="s">
        <v>112</v>
      </c>
      <c r="F37" s="30" t="s">
        <v>113</v>
      </c>
      <c r="G37" s="1"/>
      <c r="H37" s="1"/>
      <c r="I37" s="1"/>
      <c r="J37" s="1"/>
    </row>
    <row r="38" customFormat="false" ht="15" hidden="false" customHeight="false" outlineLevel="0" collapsed="false">
      <c r="A38" s="1" t="s">
        <v>114</v>
      </c>
      <c r="B38" s="20" t="n">
        <v>1</v>
      </c>
      <c r="C38" s="20" t="n">
        <v>1</v>
      </c>
      <c r="D38" s="20" t="n">
        <v>0.9</v>
      </c>
      <c r="E38" s="20" t="n">
        <v>0.9</v>
      </c>
      <c r="F38" s="20" t="n">
        <v>0.8</v>
      </c>
      <c r="G38" s="1"/>
      <c r="H38" s="1"/>
      <c r="I38" s="1"/>
      <c r="J38" s="1"/>
    </row>
    <row r="39" customFormat="false" ht="15" hidden="false" customHeight="false" outlineLevel="0" collapsed="false">
      <c r="A39" s="1" t="s">
        <v>46</v>
      </c>
      <c r="B39" s="21" t="n">
        <v>0.245</v>
      </c>
      <c r="C39" s="21" t="n">
        <v>0.255</v>
      </c>
      <c r="D39" s="21" t="n">
        <v>0.262</v>
      </c>
      <c r="E39" s="21" t="n">
        <v>0.267</v>
      </c>
      <c r="F39" s="21" t="n">
        <v>0.27</v>
      </c>
      <c r="G39" s="1"/>
      <c r="H39" s="1"/>
      <c r="I39" s="1"/>
      <c r="J39" s="1"/>
    </row>
    <row r="40" customFormat="false" ht="15" hidden="false" customHeight="false" outlineLevel="0" collapsed="false">
      <c r="A40" s="1" t="s">
        <v>115</v>
      </c>
      <c r="B40" s="11" t="n">
        <v>0.8</v>
      </c>
      <c r="C40" s="11" t="n">
        <v>0.75</v>
      </c>
      <c r="D40" s="11" t="n">
        <v>0.79</v>
      </c>
      <c r="E40" s="11" t="n">
        <v>0.84</v>
      </c>
      <c r="F40" s="11" t="n">
        <v>0.88</v>
      </c>
      <c r="G40" s="1"/>
      <c r="H40" s="1"/>
      <c r="I40" s="1"/>
      <c r="J40" s="1"/>
    </row>
    <row r="41" customFormat="false" ht="15" hidden="false" customHeight="false" outlineLevel="0" collapsed="false">
      <c r="A41" s="1" t="s">
        <v>116</v>
      </c>
      <c r="B41" s="11" t="n">
        <v>0.92</v>
      </c>
      <c r="C41" s="11" t="n">
        <v>0.92</v>
      </c>
      <c r="D41" s="11" t="n">
        <v>0.92</v>
      </c>
      <c r="E41" s="11" t="n">
        <v>0.92</v>
      </c>
      <c r="F41" s="11" t="n">
        <v>0.92</v>
      </c>
      <c r="G41" s="1"/>
      <c r="H41" s="1"/>
      <c r="I41" s="1"/>
      <c r="J41" s="1"/>
    </row>
    <row r="42" customFormat="false" ht="15" hidden="false" customHeight="false" outlineLevel="0" collapsed="false">
      <c r="A42" s="1" t="s">
        <v>117</v>
      </c>
      <c r="B42" s="21" t="n">
        <v>0.055</v>
      </c>
      <c r="C42" s="1"/>
      <c r="D42" s="1"/>
      <c r="E42" s="1"/>
      <c r="F42" s="1"/>
      <c r="G42" s="1"/>
      <c r="H42" s="1"/>
      <c r="I42" s="1"/>
      <c r="J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customFormat="false" ht="15" hidden="false" customHeight="false" outlineLevel="0" collapsed="false">
      <c r="A45" s="18" t="s">
        <v>118</v>
      </c>
      <c r="B45" s="18"/>
      <c r="C45" s="18"/>
      <c r="D45" s="18"/>
      <c r="E45" s="18"/>
      <c r="F45" s="18"/>
      <c r="G45" s="18"/>
      <c r="H45" s="18" t="s">
        <v>104</v>
      </c>
      <c r="I45" s="28" t="n">
        <v>0.4</v>
      </c>
      <c r="J45" s="1"/>
    </row>
    <row r="46" customFormat="false" ht="27.75" hidden="false" customHeight="true" outlineLevel="0" collapsed="false">
      <c r="A46" s="29" t="s">
        <v>105</v>
      </c>
      <c r="B46" s="23" t="s">
        <v>106</v>
      </c>
      <c r="C46" s="23" t="s">
        <v>107</v>
      </c>
      <c r="D46" s="1"/>
      <c r="E46" s="1"/>
      <c r="F46" s="1"/>
      <c r="G46" s="1"/>
      <c r="H46" s="1"/>
      <c r="I46" s="1"/>
      <c r="J46" s="1"/>
    </row>
    <row r="47" customFormat="false" ht="15" hidden="false" customHeight="false" outlineLevel="0" collapsed="false">
      <c r="A47" s="1" t="s">
        <v>87</v>
      </c>
      <c r="B47" s="21" t="n">
        <v>-0.06</v>
      </c>
      <c r="C47" s="21" t="n">
        <v>0.06</v>
      </c>
      <c r="D47" s="1"/>
      <c r="E47" s="1"/>
      <c r="F47" s="1"/>
      <c r="G47" s="1"/>
      <c r="H47" s="1"/>
      <c r="I47" s="1"/>
      <c r="J47" s="1"/>
    </row>
    <row r="48" customFormat="false" ht="15" hidden="false" customHeight="false" outlineLevel="0" collapsed="false">
      <c r="A48" s="1" t="s">
        <v>89</v>
      </c>
      <c r="B48" s="21" t="n">
        <v>-0.04</v>
      </c>
      <c r="C48" s="21" t="n">
        <v>0.07</v>
      </c>
      <c r="D48" s="1"/>
      <c r="E48" s="1"/>
      <c r="F48" s="1"/>
      <c r="G48" s="1"/>
      <c r="H48" s="1"/>
      <c r="I48" s="1"/>
      <c r="J48" s="1"/>
    </row>
    <row r="49" customFormat="false" ht="15" hidden="false" customHeight="false" outlineLevel="0" collapsed="false">
      <c r="A49" s="1" t="s">
        <v>91</v>
      </c>
      <c r="B49" s="21" t="n">
        <v>-0.05</v>
      </c>
      <c r="C49" s="21" t="n">
        <v>0.08</v>
      </c>
      <c r="D49" s="1"/>
      <c r="E49" s="1"/>
      <c r="F49" s="1"/>
      <c r="G49" s="1"/>
      <c r="H49" s="1"/>
      <c r="I49" s="1"/>
      <c r="J49" s="1"/>
    </row>
    <row r="50" customFormat="false" ht="15" hidden="false" customHeight="false" outlineLevel="0" collapsed="false">
      <c r="A50" s="1" t="s">
        <v>93</v>
      </c>
      <c r="B50" s="21" t="n">
        <v>-0.08</v>
      </c>
      <c r="C50" s="21" t="n">
        <v>0.06</v>
      </c>
      <c r="D50" s="1"/>
      <c r="E50" s="1"/>
      <c r="F50" s="1"/>
      <c r="G50" s="1"/>
      <c r="H50" s="1"/>
      <c r="I50" s="1"/>
      <c r="J50" s="1"/>
    </row>
    <row r="51" customFormat="false" ht="15" hidden="false" customHeight="false" outlineLevel="0" collapsed="false">
      <c r="A51" s="1" t="s">
        <v>95</v>
      </c>
      <c r="B51" s="21" t="n">
        <v>-0.02</v>
      </c>
      <c r="C51" s="21" t="n">
        <v>0.08</v>
      </c>
      <c r="D51" s="1"/>
      <c r="E51" s="1"/>
      <c r="F51" s="1"/>
      <c r="G51" s="1"/>
      <c r="H51" s="1"/>
      <c r="I51" s="1"/>
      <c r="J51" s="1"/>
    </row>
    <row r="52" customFormat="false" ht="15" hidden="false" customHeight="false" outlineLevel="0" collapsed="false">
      <c r="A52" s="1" t="s">
        <v>97</v>
      </c>
      <c r="B52" s="21" t="n">
        <v>-0.02</v>
      </c>
      <c r="C52" s="21" t="n">
        <v>0.18</v>
      </c>
      <c r="D52" s="1"/>
      <c r="E52" s="1"/>
      <c r="F52" s="1"/>
      <c r="G52" s="1"/>
      <c r="H52" s="1"/>
      <c r="I52" s="1"/>
      <c r="J52" s="1"/>
    </row>
    <row r="53" customFormat="false" ht="15" hidden="false" customHeight="false" outlineLevel="0" collapsed="false">
      <c r="A53" s="1" t="s">
        <v>99</v>
      </c>
      <c r="B53" s="21" t="n">
        <v>-0.01</v>
      </c>
      <c r="C53" s="21" t="n">
        <v>0.11</v>
      </c>
      <c r="D53" s="1"/>
      <c r="E53" s="1"/>
      <c r="F53" s="1"/>
      <c r="G53" s="1"/>
      <c r="H53" s="1"/>
      <c r="I53" s="1"/>
      <c r="J53" s="1"/>
    </row>
    <row r="54" customFormat="false" ht="15" hidden="false" customHeight="false" outlineLevel="0" collapsed="false">
      <c r="A54" s="29" t="s">
        <v>108</v>
      </c>
      <c r="B54" s="30" t="s">
        <v>109</v>
      </c>
      <c r="C54" s="30" t="s">
        <v>110</v>
      </c>
      <c r="D54" s="30" t="s">
        <v>111</v>
      </c>
      <c r="E54" s="30" t="s">
        <v>112</v>
      </c>
      <c r="F54" s="30" t="s">
        <v>113</v>
      </c>
      <c r="G54" s="1"/>
      <c r="H54" s="1"/>
      <c r="I54" s="1"/>
      <c r="J54" s="1"/>
    </row>
    <row r="55" customFormat="false" ht="15" hidden="false" customHeight="false" outlineLevel="0" collapsed="false">
      <c r="A55" s="1" t="s">
        <v>114</v>
      </c>
      <c r="B55" s="20" t="n">
        <v>1</v>
      </c>
      <c r="C55" s="20" t="n">
        <v>1</v>
      </c>
      <c r="D55" s="20" t="n">
        <v>1</v>
      </c>
      <c r="E55" s="20" t="n">
        <v>0.9</v>
      </c>
      <c r="F55" s="20" t="n">
        <v>0.9</v>
      </c>
      <c r="G55" s="1"/>
      <c r="H55" s="1"/>
      <c r="I55" s="1"/>
      <c r="J55" s="1"/>
    </row>
    <row r="56" customFormat="false" ht="15" hidden="false" customHeight="false" outlineLevel="0" collapsed="false">
      <c r="A56" s="1" t="s">
        <v>46</v>
      </c>
      <c r="B56" s="21" t="n">
        <v>0.243</v>
      </c>
      <c r="C56" s="21" t="n">
        <v>0.246</v>
      </c>
      <c r="D56" s="21" t="n">
        <v>0.25</v>
      </c>
      <c r="E56" s="21" t="n">
        <v>0.252</v>
      </c>
      <c r="F56" s="21" t="n">
        <v>0.255</v>
      </c>
      <c r="G56" s="1"/>
      <c r="H56" s="1"/>
      <c r="I56" s="1"/>
      <c r="J56" s="1"/>
    </row>
    <row r="57" customFormat="false" ht="15" hidden="false" customHeight="false" outlineLevel="0" collapsed="false">
      <c r="A57" s="1" t="s">
        <v>115</v>
      </c>
      <c r="B57" s="11" t="n">
        <v>0.8</v>
      </c>
      <c r="C57" s="11" t="n">
        <v>0.76</v>
      </c>
      <c r="D57" s="11" t="n">
        <v>0.78</v>
      </c>
      <c r="E57" s="11" t="n">
        <v>0.82</v>
      </c>
      <c r="F57" s="11" t="n">
        <v>0.85</v>
      </c>
      <c r="G57" s="1"/>
      <c r="H57" s="1"/>
      <c r="I57" s="1"/>
      <c r="J57" s="1"/>
    </row>
    <row r="58" customFormat="false" ht="15" hidden="false" customHeight="false" outlineLevel="0" collapsed="false">
      <c r="A58" s="1" t="s">
        <v>116</v>
      </c>
      <c r="B58" s="11" t="n">
        <v>0.93</v>
      </c>
      <c r="C58" s="11" t="n">
        <v>0.93</v>
      </c>
      <c r="D58" s="11" t="n">
        <v>0.92</v>
      </c>
      <c r="E58" s="11" t="n">
        <v>0.92</v>
      </c>
      <c r="F58" s="11" t="n">
        <v>0.92</v>
      </c>
      <c r="G58" s="1"/>
      <c r="H58" s="1"/>
      <c r="I58" s="1"/>
      <c r="J58" s="1"/>
    </row>
    <row r="59" customFormat="false" ht="15" hidden="false" customHeight="false" outlineLevel="0" collapsed="false">
      <c r="A59" s="1" t="s">
        <v>117</v>
      </c>
      <c r="B59" s="21" t="n">
        <v>0.04</v>
      </c>
      <c r="C59" s="1"/>
      <c r="D59" s="1"/>
      <c r="E59" s="1"/>
      <c r="F59" s="1"/>
      <c r="G59" s="1"/>
      <c r="H59" s="1"/>
      <c r="I59" s="1"/>
      <c r="J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5" hidden="false" customHeight="false" outlineLevel="0" collapsed="false">
      <c r="A62" s="18" t="s">
        <v>119</v>
      </c>
      <c r="B62" s="18"/>
      <c r="C62" s="18"/>
      <c r="D62" s="18"/>
      <c r="E62" s="18"/>
      <c r="F62" s="18"/>
      <c r="G62" s="18"/>
      <c r="H62" s="18" t="s">
        <v>104</v>
      </c>
      <c r="I62" s="28" t="n">
        <v>0.3</v>
      </c>
      <c r="J62" s="1"/>
    </row>
    <row r="63" customFormat="false" ht="27.75" hidden="false" customHeight="true" outlineLevel="0" collapsed="false">
      <c r="A63" s="29" t="s">
        <v>105</v>
      </c>
      <c r="B63" s="23" t="s">
        <v>106</v>
      </c>
      <c r="C63" s="23" t="s">
        <v>107</v>
      </c>
      <c r="D63" s="1"/>
      <c r="E63" s="1"/>
      <c r="F63" s="1"/>
      <c r="G63" s="1"/>
      <c r="H63" s="1"/>
      <c r="I63" s="1"/>
      <c r="J63" s="1"/>
    </row>
    <row r="64" customFormat="false" ht="15" hidden="false" customHeight="false" outlineLevel="0" collapsed="false">
      <c r="A64" s="1" t="s">
        <v>87</v>
      </c>
      <c r="B64" s="21" t="n">
        <v>-0.09</v>
      </c>
      <c r="C64" s="21" t="n">
        <v>0.02</v>
      </c>
      <c r="D64" s="1"/>
      <c r="E64" s="1"/>
      <c r="F64" s="1"/>
      <c r="G64" s="1"/>
      <c r="H64" s="1"/>
      <c r="I64" s="1"/>
      <c r="J64" s="1"/>
    </row>
    <row r="65" customFormat="false" ht="15" hidden="false" customHeight="false" outlineLevel="0" collapsed="false">
      <c r="A65" s="1" t="s">
        <v>89</v>
      </c>
      <c r="B65" s="21" t="n">
        <v>-0.06</v>
      </c>
      <c r="C65" s="21" t="n">
        <v>0.03</v>
      </c>
      <c r="D65" s="1"/>
      <c r="E65" s="1"/>
      <c r="F65" s="1"/>
      <c r="G65" s="1"/>
      <c r="H65" s="1"/>
      <c r="I65" s="1"/>
      <c r="J65" s="1"/>
    </row>
    <row r="66" customFormat="false" ht="15" hidden="false" customHeight="false" outlineLevel="0" collapsed="false">
      <c r="A66" s="1" t="s">
        <v>91</v>
      </c>
      <c r="B66" s="21" t="n">
        <v>-0.08</v>
      </c>
      <c r="C66" s="21" t="n">
        <v>0.04</v>
      </c>
      <c r="D66" s="1"/>
      <c r="E66" s="1"/>
      <c r="F66" s="1"/>
      <c r="G66" s="1"/>
      <c r="H66" s="1"/>
      <c r="I66" s="1"/>
      <c r="J66" s="1"/>
    </row>
    <row r="67" customFormat="false" ht="15" hidden="false" customHeight="false" outlineLevel="0" collapsed="false">
      <c r="A67" s="1" t="s">
        <v>93</v>
      </c>
      <c r="B67" s="21" t="n">
        <v>-0.12</v>
      </c>
      <c r="C67" s="21" t="n">
        <v>0.02</v>
      </c>
      <c r="D67" s="1"/>
      <c r="E67" s="1"/>
      <c r="F67" s="1"/>
      <c r="G67" s="1"/>
      <c r="H67" s="1"/>
      <c r="I67" s="1"/>
      <c r="J67" s="1"/>
    </row>
    <row r="68" customFormat="false" ht="15" hidden="false" customHeight="false" outlineLevel="0" collapsed="false">
      <c r="A68" s="1" t="s">
        <v>95</v>
      </c>
      <c r="B68" s="21" t="n">
        <v>-0.04</v>
      </c>
      <c r="C68" s="21" t="n">
        <v>0.04</v>
      </c>
      <c r="D68" s="1"/>
      <c r="E68" s="1"/>
      <c r="F68" s="1"/>
      <c r="G68" s="1"/>
      <c r="H68" s="1"/>
      <c r="I68" s="1"/>
      <c r="J68" s="1"/>
    </row>
    <row r="69" customFormat="false" ht="15" hidden="false" customHeight="false" outlineLevel="0" collapsed="false">
      <c r="A69" s="1" t="s">
        <v>97</v>
      </c>
      <c r="B69" s="21" t="n">
        <v>-0.04</v>
      </c>
      <c r="C69" s="21" t="n">
        <v>0.11</v>
      </c>
      <c r="D69" s="1"/>
      <c r="E69" s="1"/>
      <c r="F69" s="1"/>
      <c r="G69" s="1"/>
      <c r="H69" s="1"/>
      <c r="I69" s="1"/>
      <c r="J69" s="1"/>
    </row>
    <row r="70" customFormat="false" ht="15" hidden="false" customHeight="false" outlineLevel="0" collapsed="false">
      <c r="A70" s="1" t="s">
        <v>99</v>
      </c>
      <c r="B70" s="21" t="n">
        <v>-0.03</v>
      </c>
      <c r="C70" s="21" t="n">
        <v>0.06</v>
      </c>
      <c r="D70" s="1"/>
      <c r="E70" s="1"/>
      <c r="F70" s="1"/>
      <c r="G70" s="1"/>
      <c r="H70" s="1"/>
      <c r="I70" s="1"/>
      <c r="J70" s="1"/>
    </row>
    <row r="71" customFormat="false" ht="15" hidden="false" customHeight="false" outlineLevel="0" collapsed="false">
      <c r="A71" s="29" t="s">
        <v>108</v>
      </c>
      <c r="B71" s="30" t="s">
        <v>109</v>
      </c>
      <c r="C71" s="30" t="s">
        <v>110</v>
      </c>
      <c r="D71" s="30" t="s">
        <v>111</v>
      </c>
      <c r="E71" s="30" t="s">
        <v>112</v>
      </c>
      <c r="F71" s="30" t="s">
        <v>113</v>
      </c>
      <c r="G71" s="1"/>
      <c r="H71" s="1"/>
      <c r="I71" s="1"/>
      <c r="J71" s="1"/>
    </row>
    <row r="72" customFormat="false" ht="15" hidden="false" customHeight="false" outlineLevel="0" collapsed="false">
      <c r="A72" s="1" t="s">
        <v>114</v>
      </c>
      <c r="B72" s="20" t="n">
        <v>0.8</v>
      </c>
      <c r="C72" s="20" t="n">
        <v>1</v>
      </c>
      <c r="D72" s="20" t="n">
        <v>1.1</v>
      </c>
      <c r="E72" s="20" t="n">
        <v>1</v>
      </c>
      <c r="F72" s="20" t="n">
        <v>0.9</v>
      </c>
      <c r="G72" s="1"/>
      <c r="H72" s="1"/>
      <c r="I72" s="1"/>
      <c r="J72" s="1"/>
    </row>
    <row r="73" customFormat="false" ht="15" hidden="false" customHeight="false" outlineLevel="0" collapsed="false">
      <c r="A73" s="1" t="s">
        <v>46</v>
      </c>
      <c r="B73" s="21" t="n">
        <v>0.24</v>
      </c>
      <c r="C73" s="21" t="n">
        <v>0.234</v>
      </c>
      <c r="D73" s="21" t="n">
        <v>0.228</v>
      </c>
      <c r="E73" s="21" t="n">
        <v>0.224</v>
      </c>
      <c r="F73" s="21" t="n">
        <v>0.22</v>
      </c>
      <c r="G73" s="1"/>
      <c r="H73" s="1"/>
      <c r="I73" s="1"/>
      <c r="J73" s="1"/>
    </row>
    <row r="74" customFormat="false" ht="15" hidden="false" customHeight="false" outlineLevel="0" collapsed="false">
      <c r="A74" s="1" t="s">
        <v>115</v>
      </c>
      <c r="B74" s="11" t="n">
        <v>0.78</v>
      </c>
      <c r="C74" s="11" t="n">
        <v>0.72</v>
      </c>
      <c r="D74" s="11" t="n">
        <v>0.74</v>
      </c>
      <c r="E74" s="11" t="n">
        <v>0.78</v>
      </c>
      <c r="F74" s="11" t="n">
        <v>0.82</v>
      </c>
      <c r="G74" s="1"/>
      <c r="H74" s="1"/>
      <c r="I74" s="1"/>
      <c r="J74" s="1"/>
    </row>
    <row r="75" customFormat="false" ht="15" hidden="false" customHeight="false" outlineLevel="0" collapsed="false">
      <c r="A75" s="1" t="s">
        <v>116</v>
      </c>
      <c r="B75" s="11" t="n">
        <v>0.95</v>
      </c>
      <c r="C75" s="11" t="n">
        <v>0.93</v>
      </c>
      <c r="D75" s="11" t="n">
        <v>0.91</v>
      </c>
      <c r="E75" s="11" t="n">
        <v>0.9</v>
      </c>
      <c r="F75" s="11" t="n">
        <v>0.9</v>
      </c>
      <c r="G75" s="1"/>
      <c r="H75" s="1"/>
      <c r="I75" s="1"/>
      <c r="J75" s="1"/>
    </row>
    <row r="76" customFormat="false" ht="15" hidden="false" customHeight="false" outlineLevel="0" collapsed="false">
      <c r="A76" s="1" t="s">
        <v>117</v>
      </c>
      <c r="B76" s="21" t="n">
        <v>0.03</v>
      </c>
      <c r="C76" s="1"/>
      <c r="D76" s="1"/>
      <c r="E76" s="1"/>
      <c r="F76" s="1"/>
      <c r="G76" s="1"/>
      <c r="H76" s="1"/>
      <c r="I76" s="1"/>
      <c r="J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5" hidden="false" customHeight="false" outlineLevel="0" collapsed="false">
      <c r="A79" s="18" t="s">
        <v>120</v>
      </c>
      <c r="B79" s="18"/>
      <c r="C79" s="18"/>
      <c r="D79" s="18"/>
      <c r="E79" s="18"/>
      <c r="F79" s="18"/>
      <c r="G79" s="18"/>
      <c r="H79" s="18" t="s">
        <v>104</v>
      </c>
      <c r="I79" s="28" t="n">
        <v>0.15</v>
      </c>
      <c r="J79" s="1"/>
    </row>
    <row r="80" customFormat="false" ht="27.75" hidden="false" customHeight="true" outlineLevel="0" collapsed="false">
      <c r="A80" s="29" t="s">
        <v>105</v>
      </c>
      <c r="B80" s="23" t="s">
        <v>106</v>
      </c>
      <c r="C80" s="23" t="s">
        <v>107</v>
      </c>
      <c r="D80" s="1"/>
      <c r="E80" s="1"/>
      <c r="F80" s="1"/>
      <c r="G80" s="1"/>
      <c r="H80" s="1"/>
      <c r="I80" s="1"/>
      <c r="J80" s="1"/>
    </row>
    <row r="81" customFormat="false" ht="15" hidden="false" customHeight="false" outlineLevel="0" collapsed="false">
      <c r="A81" s="1" t="s">
        <v>87</v>
      </c>
      <c r="B81" s="21" t="n">
        <v>-0.13</v>
      </c>
      <c r="C81" s="21" t="n">
        <v>0</v>
      </c>
      <c r="D81" s="1"/>
      <c r="E81" s="1"/>
      <c r="F81" s="1"/>
      <c r="G81" s="1"/>
      <c r="H81" s="1"/>
      <c r="I81" s="1"/>
      <c r="J81" s="1"/>
    </row>
    <row r="82" customFormat="false" ht="15" hidden="false" customHeight="false" outlineLevel="0" collapsed="false">
      <c r="A82" s="1" t="s">
        <v>89</v>
      </c>
      <c r="B82" s="21" t="n">
        <v>-0.09</v>
      </c>
      <c r="C82" s="21" t="n">
        <v>0</v>
      </c>
      <c r="D82" s="1"/>
      <c r="E82" s="1"/>
      <c r="F82" s="1"/>
      <c r="G82" s="1"/>
      <c r="H82" s="1"/>
      <c r="I82" s="1"/>
      <c r="J82" s="1"/>
    </row>
    <row r="83" customFormat="false" ht="15" hidden="false" customHeight="false" outlineLevel="0" collapsed="false">
      <c r="A83" s="1" t="s">
        <v>91</v>
      </c>
      <c r="B83" s="21" t="n">
        <v>-0.11</v>
      </c>
      <c r="C83" s="21" t="n">
        <v>0.01</v>
      </c>
      <c r="D83" s="1"/>
      <c r="E83" s="1"/>
      <c r="F83" s="1"/>
      <c r="G83" s="1"/>
      <c r="H83" s="1"/>
      <c r="I83" s="1"/>
      <c r="J83" s="1"/>
    </row>
    <row r="84" customFormat="false" ht="15" hidden="false" customHeight="false" outlineLevel="0" collapsed="false">
      <c r="A84" s="1" t="s">
        <v>93</v>
      </c>
      <c r="B84" s="21" t="n">
        <v>-0.18</v>
      </c>
      <c r="C84" s="21" t="n">
        <v>-0.02</v>
      </c>
      <c r="D84" s="1"/>
      <c r="E84" s="1"/>
      <c r="F84" s="1"/>
      <c r="G84" s="1"/>
      <c r="H84" s="1"/>
      <c r="I84" s="1"/>
      <c r="J84" s="1"/>
    </row>
    <row r="85" customFormat="false" ht="15" hidden="false" customHeight="false" outlineLevel="0" collapsed="false">
      <c r="A85" s="1" t="s">
        <v>95</v>
      </c>
      <c r="B85" s="21" t="n">
        <v>-0.06</v>
      </c>
      <c r="C85" s="21" t="n">
        <v>0.01</v>
      </c>
      <c r="D85" s="1"/>
      <c r="E85" s="1"/>
      <c r="F85" s="1"/>
      <c r="G85" s="1"/>
      <c r="H85" s="1"/>
      <c r="I85" s="1"/>
      <c r="J85" s="1"/>
    </row>
    <row r="86" customFormat="false" ht="15" hidden="false" customHeight="false" outlineLevel="0" collapsed="false">
      <c r="A86" s="1" t="s">
        <v>97</v>
      </c>
      <c r="B86" s="21" t="n">
        <v>-0.07</v>
      </c>
      <c r="C86" s="21" t="n">
        <v>0.05</v>
      </c>
      <c r="D86" s="1"/>
      <c r="E86" s="1"/>
      <c r="F86" s="1"/>
      <c r="G86" s="1"/>
      <c r="H86" s="1"/>
      <c r="I86" s="1"/>
      <c r="J86" s="1"/>
    </row>
    <row r="87" customFormat="false" ht="15" hidden="false" customHeight="false" outlineLevel="0" collapsed="false">
      <c r="A87" s="1" t="s">
        <v>99</v>
      </c>
      <c r="B87" s="21" t="n">
        <v>-0.06</v>
      </c>
      <c r="C87" s="21" t="n">
        <v>0.02</v>
      </c>
      <c r="D87" s="1"/>
      <c r="E87" s="1"/>
      <c r="F87" s="1"/>
      <c r="G87" s="1"/>
      <c r="H87" s="1"/>
      <c r="I87" s="1"/>
      <c r="J87" s="1"/>
    </row>
    <row r="88" customFormat="false" ht="15" hidden="false" customHeight="false" outlineLevel="0" collapsed="false">
      <c r="A88" s="29" t="s">
        <v>108</v>
      </c>
      <c r="B88" s="30" t="s">
        <v>109</v>
      </c>
      <c r="C88" s="30" t="s">
        <v>110</v>
      </c>
      <c r="D88" s="30" t="s">
        <v>111</v>
      </c>
      <c r="E88" s="30" t="s">
        <v>112</v>
      </c>
      <c r="F88" s="30" t="s">
        <v>113</v>
      </c>
      <c r="G88" s="1"/>
      <c r="H88" s="1"/>
      <c r="I88" s="1"/>
      <c r="J88" s="1"/>
    </row>
    <row r="89" customFormat="false" ht="15" hidden="false" customHeight="false" outlineLevel="0" collapsed="false">
      <c r="A89" s="1" t="s">
        <v>114</v>
      </c>
      <c r="B89" s="20" t="n">
        <v>0.6</v>
      </c>
      <c r="C89" s="20" t="n">
        <v>1</v>
      </c>
      <c r="D89" s="20" t="n">
        <v>1.2</v>
      </c>
      <c r="E89" s="20" t="n">
        <v>1.1</v>
      </c>
      <c r="F89" s="20" t="n">
        <v>0.9</v>
      </c>
      <c r="G89" s="1"/>
      <c r="H89" s="1"/>
      <c r="I89" s="1"/>
      <c r="J89" s="1"/>
    </row>
    <row r="90" customFormat="false" ht="15" hidden="false" customHeight="false" outlineLevel="0" collapsed="false">
      <c r="A90" s="1" t="s">
        <v>46</v>
      </c>
      <c r="B90" s="21" t="n">
        <v>0.235</v>
      </c>
      <c r="C90" s="21" t="n">
        <v>0.22</v>
      </c>
      <c r="D90" s="21" t="n">
        <v>0.202</v>
      </c>
      <c r="E90" s="21" t="n">
        <v>0.188</v>
      </c>
      <c r="F90" s="21" t="n">
        <v>0.175</v>
      </c>
      <c r="G90" s="1"/>
      <c r="H90" s="1"/>
      <c r="I90" s="1"/>
      <c r="J90" s="1"/>
    </row>
    <row r="91" customFormat="false" ht="15" hidden="false" customHeight="false" outlineLevel="0" collapsed="false">
      <c r="A91" s="1" t="s">
        <v>115</v>
      </c>
      <c r="B91" s="11" t="n">
        <v>0.75</v>
      </c>
      <c r="C91" s="11" t="n">
        <v>0.66</v>
      </c>
      <c r="D91" s="11" t="n">
        <v>0.68</v>
      </c>
      <c r="E91" s="11" t="n">
        <v>0.74</v>
      </c>
      <c r="F91" s="11" t="n">
        <v>0.8</v>
      </c>
      <c r="G91" s="1"/>
      <c r="H91" s="1"/>
      <c r="I91" s="1"/>
      <c r="J91" s="1"/>
    </row>
    <row r="92" customFormat="false" ht="15" hidden="false" customHeight="false" outlineLevel="0" collapsed="false">
      <c r="A92" s="1" t="s">
        <v>116</v>
      </c>
      <c r="B92" s="11" t="n">
        <v>0.95</v>
      </c>
      <c r="C92" s="11" t="n">
        <v>0.9</v>
      </c>
      <c r="D92" s="11" t="n">
        <v>0.85</v>
      </c>
      <c r="E92" s="11" t="n">
        <v>0.85</v>
      </c>
      <c r="F92" s="11" t="n">
        <v>0.85</v>
      </c>
      <c r="G92" s="1"/>
      <c r="H92" s="1"/>
      <c r="I92" s="1"/>
      <c r="J92" s="1"/>
    </row>
    <row r="93" customFormat="false" ht="15" hidden="false" customHeight="false" outlineLevel="0" collapsed="false">
      <c r="A93" s="1" t="s">
        <v>117</v>
      </c>
      <c r="B93" s="21" t="n">
        <v>0.015</v>
      </c>
      <c r="C93" s="1"/>
      <c r="D93" s="1"/>
      <c r="E93" s="1"/>
      <c r="F93" s="1"/>
      <c r="G93" s="1"/>
      <c r="H93" s="1"/>
      <c r="I93" s="1"/>
      <c r="J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5" hidden="false" customHeight="false" outlineLevel="0" collapsed="false">
      <c r="A96" s="18" t="s">
        <v>121</v>
      </c>
      <c r="B96" s="18"/>
      <c r="C96" s="18"/>
      <c r="D96" s="18"/>
      <c r="E96" s="18"/>
      <c r="F96" s="18"/>
      <c r="G96" s="18"/>
      <c r="H96" s="18"/>
      <c r="I96" s="18"/>
      <c r="J96" s="1"/>
    </row>
    <row r="97" customFormat="false" ht="15" hidden="false" customHeight="false" outlineLevel="0" collapsed="false">
      <c r="A97" s="1" t="s">
        <v>122</v>
      </c>
      <c r="B97" s="12" t="n">
        <v>4237</v>
      </c>
      <c r="C97" s="1"/>
      <c r="D97" s="1"/>
      <c r="E97" s="1"/>
      <c r="F97" s="1"/>
      <c r="G97" s="1"/>
      <c r="H97" s="1"/>
      <c r="I97" s="1"/>
      <c r="J97" s="3" t="s">
        <v>123</v>
      </c>
    </row>
    <row r="98" customFormat="false" ht="15" hidden="false" customHeight="false" outlineLevel="0" collapsed="false">
      <c r="A98" s="1" t="s">
        <v>124</v>
      </c>
      <c r="B98" s="21" t="n">
        <v>0.09</v>
      </c>
      <c r="C98" s="1"/>
      <c r="D98" s="1"/>
      <c r="E98" s="1"/>
      <c r="F98" s="1"/>
      <c r="G98" s="1"/>
      <c r="H98" s="1"/>
      <c r="I98" s="1"/>
      <c r="J98" s="3" t="s">
        <v>125</v>
      </c>
    </row>
    <row r="99" customFormat="false" ht="15" hidden="false" customHeight="false" outlineLevel="0" collapsed="false">
      <c r="A99" s="1" t="s">
        <v>126</v>
      </c>
      <c r="B99" s="12" t="n">
        <v>6984</v>
      </c>
      <c r="C99" s="1"/>
      <c r="D99" s="1"/>
      <c r="E99" s="1"/>
      <c r="F99" s="1"/>
      <c r="G99" s="1"/>
      <c r="H99" s="1"/>
      <c r="I99" s="1"/>
      <c r="J99" s="3" t="s">
        <v>127</v>
      </c>
    </row>
    <row r="100" customFormat="false" ht="15" hidden="false" customHeight="false" outlineLevel="0" collapsed="false">
      <c r="A100" s="1" t="s">
        <v>128</v>
      </c>
      <c r="B100" s="11" t="n">
        <v>0.06</v>
      </c>
      <c r="C100" s="1"/>
      <c r="D100" s="1"/>
      <c r="E100" s="1"/>
      <c r="F100" s="1"/>
      <c r="G100" s="1"/>
      <c r="H100" s="1"/>
      <c r="I100" s="1"/>
      <c r="J100" s="1"/>
    </row>
    <row r="101" customFormat="false" ht="15" hidden="false" customHeight="false" outlineLevel="0" collapsed="false">
      <c r="A101" s="1" t="s">
        <v>129</v>
      </c>
      <c r="B101" s="12" t="n">
        <v>21841</v>
      </c>
      <c r="C101" s="1"/>
      <c r="D101" s="1"/>
      <c r="E101" s="1"/>
      <c r="F101" s="1"/>
      <c r="G101" s="1"/>
      <c r="H101" s="1"/>
      <c r="I101" s="1"/>
      <c r="J101" s="3" t="s">
        <v>130</v>
      </c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customFormat="false" ht="15" hidden="false" customHeight="false" outlineLevel="0" collapsed="false">
      <c r="A103" s="29" t="s">
        <v>131</v>
      </c>
      <c r="B103" s="30" t="s">
        <v>109</v>
      </c>
      <c r="C103" s="30" t="s">
        <v>110</v>
      </c>
      <c r="D103" s="30" t="s">
        <v>111</v>
      </c>
      <c r="E103" s="30" t="s">
        <v>112</v>
      </c>
      <c r="F103" s="30" t="s">
        <v>113</v>
      </c>
      <c r="G103" s="1"/>
      <c r="H103" s="1"/>
      <c r="I103" s="1"/>
      <c r="J103" s="1"/>
    </row>
    <row r="104" customFormat="false" ht="15" hidden="false" customHeight="false" outlineLevel="0" collapsed="false">
      <c r="A104" s="1" t="s">
        <v>132</v>
      </c>
      <c r="B104" s="31" t="n">
        <v>20000</v>
      </c>
      <c r="C104" s="31" t="n">
        <v>24000</v>
      </c>
      <c r="D104" s="31" t="n">
        <v>26000</v>
      </c>
      <c r="E104" s="31" t="n">
        <v>27000</v>
      </c>
      <c r="F104" s="31" t="n">
        <v>28000</v>
      </c>
      <c r="G104" s="1"/>
      <c r="H104" s="1"/>
      <c r="I104" s="1"/>
      <c r="J104" s="1"/>
    </row>
    <row r="105" customFormat="false" ht="42" hidden="false" customHeight="true" outlineLevel="0" collapsed="false">
      <c r="A105" s="25" t="s">
        <v>133</v>
      </c>
      <c r="B105" s="1"/>
      <c r="C105" s="1"/>
      <c r="D105" s="1"/>
      <c r="E105" s="1"/>
      <c r="F105" s="1"/>
      <c r="G105" s="1"/>
      <c r="H105" s="1"/>
      <c r="I105" s="1"/>
      <c r="J10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2" t="s">
        <v>134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135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8" t="s">
        <v>136</v>
      </c>
      <c r="B4" s="18"/>
      <c r="C4" s="18"/>
      <c r="D4" s="18"/>
      <c r="E4" s="18"/>
      <c r="F4" s="18"/>
      <c r="G4" s="18"/>
    </row>
    <row r="5" customFormat="false" ht="15" hidden="false" customHeight="false" outlineLevel="0" collapsed="false">
      <c r="A5" s="29" t="s">
        <v>81</v>
      </c>
      <c r="B5" s="30" t="s">
        <v>41</v>
      </c>
      <c r="C5" s="30" t="s">
        <v>109</v>
      </c>
      <c r="D5" s="30" t="s">
        <v>110</v>
      </c>
      <c r="E5" s="30" t="s">
        <v>111</v>
      </c>
      <c r="F5" s="30" t="s">
        <v>112</v>
      </c>
      <c r="G5" s="30" t="s">
        <v>113</v>
      </c>
    </row>
    <row r="6" customFormat="false" ht="15" hidden="false" customHeight="false" outlineLevel="0" collapsed="false">
      <c r="A6" s="1" t="s">
        <v>87</v>
      </c>
      <c r="B6" s="32" t="n">
        <f aca="false">Assumptions!C17</f>
        <v>9605.44</v>
      </c>
      <c r="C6" s="24" t="n">
        <f aca="false">B6*(1+Assumptions!$C$30*Assumptions!$F$17^0)*(1+Assumptions!$B$30*Assumptions!B$38)</f>
        <v>9946.43312</v>
      </c>
      <c r="D6" s="24" t="n">
        <f aca="false">C6*(1+Assumptions!$C$30*Assumptions!$F$17^1)*(1+Assumptions!$B$30*Assumptions!C$38)</f>
        <v>10299.53149576</v>
      </c>
      <c r="E6" s="24" t="n">
        <f aca="false">D6*(1+Assumptions!$C$30*Assumptions!$F$17^2)*(1+Assumptions!$B$30*Assumptions!D$38)</f>
        <v>10721.2973105114</v>
      </c>
      <c r="F6" s="24" t="n">
        <f aca="false">E6*(1+Assumptions!$C$30*Assumptions!$F$17^3)*(1+Assumptions!$B$30*Assumptions!E$38)</f>
        <v>11160.3344353768</v>
      </c>
      <c r="G6" s="24" t="n">
        <f aca="false">F6*(1+Assumptions!$C$30*Assumptions!$F$17^4)*(1+Assumptions!$B$30*Assumptions!F$38)</f>
        <v>11678.1739531783</v>
      </c>
    </row>
    <row r="7" customFormat="false" ht="15" hidden="false" customHeight="false" outlineLevel="0" collapsed="false">
      <c r="A7" s="1" t="s">
        <v>89</v>
      </c>
      <c r="B7" s="32" t="n">
        <f aca="false">Assumptions!C18</f>
        <v>3902.21</v>
      </c>
      <c r="C7" s="24" t="n">
        <f aca="false">B7*(1+Assumptions!$C$31*Assumptions!$F$18^0)*(1+Assumptions!$B$31*Assumptions!B$38)</f>
        <v>4163.65807</v>
      </c>
      <c r="D7" s="24" t="n">
        <f aca="false">C7*(1+Assumptions!$C$31*Assumptions!$F$18^1)*(1+Assumptions!$B$31*Assumptions!C$38)</f>
        <v>4442.62316069</v>
      </c>
      <c r="E7" s="24" t="n">
        <f aca="false">D7*(1+Assumptions!$C$31*Assumptions!$F$18^2)*(1+Assumptions!$B$31*Assumptions!D$38)</f>
        <v>4754.93956888651</v>
      </c>
      <c r="F7" s="24" t="n">
        <f aca="false">E7*(1+Assumptions!$C$31*Assumptions!$F$18^3)*(1+Assumptions!$B$31*Assumptions!E$38)</f>
        <v>5089.21182057923</v>
      </c>
      <c r="G7" s="24" t="n">
        <f aca="false">F7*(1+Assumptions!$C$31*Assumptions!$F$18^4)*(1+Assumptions!$B$31*Assumptions!F$38)</f>
        <v>5463.77781057386</v>
      </c>
    </row>
    <row r="8" customFormat="false" ht="15" hidden="false" customHeight="false" outlineLevel="0" collapsed="false">
      <c r="A8" s="1" t="s">
        <v>91</v>
      </c>
      <c r="B8" s="32" t="n">
        <f aca="false">Assumptions!C19</f>
        <v>4802.72</v>
      </c>
      <c r="C8" s="24" t="n">
        <f aca="false">B8*(1+Assumptions!$C$32*Assumptions!$F$19^0)*(1+Assumptions!$B$32*Assumptions!B$38)</f>
        <v>5163.884544</v>
      </c>
      <c r="D8" s="24" t="n">
        <f aca="false">C8*(1+Assumptions!$C$32*Assumptions!$F$19^1)*(1+Assumptions!$B$32*Assumptions!C$38)</f>
        <v>5552.2086617088</v>
      </c>
      <c r="E8" s="24" t="n">
        <f aca="false">D8*(1+Assumptions!$C$32*Assumptions!$F$19^2)*(1+Assumptions!$B$32*Assumptions!D$38)</f>
        <v>5994.60864787376</v>
      </c>
      <c r="F8" s="24" t="n">
        <f aca="false">E8*(1+Assumptions!$C$32*Assumptions!$F$19^3)*(1+Assumptions!$B$32*Assumptions!E$38)</f>
        <v>6472.25906493634</v>
      </c>
      <c r="G8" s="24" t="n">
        <f aca="false">F8*(1+Assumptions!$C$32*Assumptions!$F$19^4)*(1+Assumptions!$B$32*Assumptions!F$38)</f>
        <v>7016.96438784138</v>
      </c>
    </row>
    <row r="9" customFormat="false" ht="15" hidden="false" customHeight="false" outlineLevel="0" collapsed="false">
      <c r="A9" s="1" t="s">
        <v>93</v>
      </c>
      <c r="B9" s="32" t="n">
        <f aca="false">Assumptions!C20</f>
        <v>3001.7</v>
      </c>
      <c r="C9" s="24" t="n">
        <f aca="false">B9*(1+Assumptions!$C$33*Assumptions!$F$20^0)*(1+Assumptions!$B$33*Assumptions!B$38)</f>
        <v>3103.7578</v>
      </c>
      <c r="D9" s="24" t="n">
        <f aca="false">C9*(1+Assumptions!$C$33*Assumptions!$F$20^1)*(1+Assumptions!$B$33*Assumptions!C$38)</f>
        <v>3209.2855652</v>
      </c>
      <c r="E9" s="24" t="n">
        <f aca="false">D9*(1+Assumptions!$C$33*Assumptions!$F$20^2)*(1+Assumptions!$B$33*Assumptions!D$38)</f>
        <v>3339.58255914712</v>
      </c>
      <c r="F9" s="24" t="n">
        <f aca="false">E9*(1+Assumptions!$C$33*Assumptions!$F$20^3)*(1+Assumptions!$B$33*Assumptions!E$38)</f>
        <v>3475.16961104849</v>
      </c>
      <c r="G9" s="24" t="n">
        <f aca="false">F9*(1+Assumptions!$C$33*Assumptions!$F$20^4)*(1+Assumptions!$B$33*Assumptions!F$38)</f>
        <v>3639.19761668998</v>
      </c>
    </row>
    <row r="10" customFormat="false" ht="15" hidden="false" customHeight="false" outlineLevel="0" collapsed="false">
      <c r="A10" s="1" t="s">
        <v>95</v>
      </c>
      <c r="B10" s="32" t="n">
        <f aca="false">Assumptions!C21</f>
        <v>2701.53</v>
      </c>
      <c r="C10" s="24" t="n">
        <f aca="false">B10*(1+Assumptions!$C$34*Assumptions!$F$21^0)*(1+Assumptions!$B$34*Assumptions!B$38)</f>
        <v>2995.456464</v>
      </c>
      <c r="D10" s="24" t="n">
        <f aca="false">C10*(1+Assumptions!$C$34*Assumptions!$F$21^1)*(1+Assumptions!$B$34*Assumptions!C$38)</f>
        <v>3321.3621272832</v>
      </c>
      <c r="E10" s="24" t="n">
        <f aca="false">D10*(1+Assumptions!$C$34*Assumptions!$F$21^2)*(1+Assumptions!$B$34*Assumptions!D$38)</f>
        <v>3686.44625231417</v>
      </c>
      <c r="F10" s="24" t="n">
        <f aca="false">E10*(1+Assumptions!$C$34*Assumptions!$F$21^3)*(1+Assumptions!$B$34*Assumptions!E$38)</f>
        <v>4091.66042436854</v>
      </c>
      <c r="G10" s="24" t="n">
        <f aca="false">F10*(1+Assumptions!$C$34*Assumptions!$F$21^4)*(1+Assumptions!$B$34*Assumptions!F$38)</f>
        <v>4545.99839789043</v>
      </c>
    </row>
    <row r="11" customFormat="false" ht="15" hidden="false" customHeight="false" outlineLevel="0" collapsed="false">
      <c r="A11" s="1" t="s">
        <v>97</v>
      </c>
      <c r="B11" s="32" t="n">
        <f aca="false">Assumptions!C22</f>
        <v>4502.55</v>
      </c>
      <c r="C11" s="24" t="n">
        <f aca="false">B11*(1+Assumptions!$C$35*Assumptions!$F$22^0)*(1+Assumptions!$B$35*Assumptions!B$38)</f>
        <v>5673.213</v>
      </c>
      <c r="D11" s="24" t="n">
        <f aca="false">C11*(1+Assumptions!$C$35*Assumptions!$F$22^1)*(1+Assumptions!$B$35*Assumptions!C$38)</f>
        <v>6971.2441344</v>
      </c>
      <c r="E11" s="24" t="n">
        <f aca="false">D11*(1+Assumptions!$C$35*Assumptions!$F$22^2)*(1+Assumptions!$B$35*Assumptions!D$38)</f>
        <v>8374.86231339664</v>
      </c>
      <c r="F11" s="24" t="n">
        <f aca="false">E11*(1+Assumptions!$C$35*Assumptions!$F$22^3)*(1+Assumptions!$B$35*Assumptions!E$38)</f>
        <v>9858.74319770974</v>
      </c>
      <c r="G11" s="24" t="n">
        <f aca="false">F11*(1+Assumptions!$C$35*Assumptions!$F$22^4)*(1+Assumptions!$B$35*Assumptions!F$38)</f>
        <v>11395.9262609953</v>
      </c>
    </row>
    <row r="12" customFormat="false" ht="15" hidden="false" customHeight="false" outlineLevel="0" collapsed="false">
      <c r="A12" s="1" t="s">
        <v>99</v>
      </c>
      <c r="B12" s="32" t="n">
        <f aca="false">Assumptions!C23</f>
        <v>1500.85</v>
      </c>
      <c r="C12" s="24" t="n">
        <f aca="false">B12*(1+Assumptions!$C$36*Assumptions!$F$23^0)*(1+Assumptions!$B$36*Assumptions!B$38)</f>
        <v>1740.986</v>
      </c>
      <c r="D12" s="24" t="n">
        <f aca="false">C12*(1+Assumptions!$C$36*Assumptions!$F$23^1)*(1+Assumptions!$B$36*Assumptions!C$38)</f>
        <v>1997.2591392</v>
      </c>
      <c r="E12" s="24" t="n">
        <f aca="false">D12*(1+Assumptions!$C$36*Assumptions!$F$23^2)*(1+Assumptions!$B$36*Assumptions!D$38)</f>
        <v>2267.73596086702</v>
      </c>
      <c r="F12" s="24" t="n">
        <f aca="false">E12*(1+Assumptions!$C$36*Assumptions!$F$23^3)*(1+Assumptions!$B$36*Assumptions!E$38)</f>
        <v>2550.27336565032</v>
      </c>
      <c r="G12" s="24" t="n">
        <f aca="false">F12*(1+Assumptions!$C$36*Assumptions!$F$23^4)*(1+Assumptions!$B$36*Assumptions!F$38)</f>
        <v>2842.5930272867</v>
      </c>
    </row>
    <row r="13" customFormat="false" ht="15" hidden="false" customHeight="false" outlineLevel="0" collapsed="false">
      <c r="A13" s="5" t="s">
        <v>137</v>
      </c>
      <c r="B13" s="27" t="n">
        <f aca="false">SUM(B6:B12)</f>
        <v>30017</v>
      </c>
      <c r="C13" s="27" t="n">
        <f aca="false">SUM(C6:C12)</f>
        <v>32787.388998</v>
      </c>
      <c r="D13" s="27" t="n">
        <f aca="false">SUM(D6:D12)</f>
        <v>35793.514284242</v>
      </c>
      <c r="E13" s="27" t="n">
        <f aca="false">SUM(E6:E12)</f>
        <v>39139.4726129966</v>
      </c>
      <c r="F13" s="27" t="n">
        <f aca="false">SUM(F6:F12)</f>
        <v>42697.6519196695</v>
      </c>
      <c r="G13" s="27" t="n">
        <f aca="false">SUM(G6:G12)</f>
        <v>46582.6314544559</v>
      </c>
    </row>
    <row r="14" customFormat="false" ht="15" hidden="false" customHeight="false" outlineLevel="0" collapsed="false">
      <c r="A14" s="1" t="s">
        <v>138</v>
      </c>
      <c r="B14" s="1"/>
      <c r="C14" s="17" t="n">
        <f aca="false">C13/B13-1</f>
        <v>0.0922940000000001</v>
      </c>
      <c r="D14" s="17" t="n">
        <f aca="false">D13/C13-1</f>
        <v>0.0916854125354532</v>
      </c>
      <c r="E14" s="17" t="n">
        <f aca="false">E13/D13-1</f>
        <v>0.0934794583785148</v>
      </c>
      <c r="F14" s="17" t="n">
        <f aca="false">F13/E13-1</f>
        <v>0.0909102517005143</v>
      </c>
      <c r="G14" s="17" t="n">
        <f aca="false">G13/F13-1</f>
        <v>0.0909881307312999</v>
      </c>
    </row>
    <row r="15" customFormat="false" ht="15" hidden="false" customHeight="false" outlineLevel="0" collapsed="false">
      <c r="A15" s="1" t="s">
        <v>139</v>
      </c>
      <c r="B15" s="1"/>
      <c r="C15" s="26" t="n">
        <f aca="false">(G13/B13)^(1/5)-1</f>
        <v>0.0918710384054853</v>
      </c>
      <c r="D15" s="1"/>
      <c r="E15" s="1"/>
      <c r="F15" s="1"/>
      <c r="G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8" t="s">
        <v>140</v>
      </c>
      <c r="B18" s="18"/>
      <c r="C18" s="18"/>
      <c r="D18" s="18"/>
      <c r="E18" s="18"/>
      <c r="F18" s="18"/>
      <c r="G18" s="18"/>
    </row>
    <row r="19" customFormat="false" ht="15" hidden="false" customHeight="false" outlineLevel="0" collapsed="false">
      <c r="A19" s="29" t="s">
        <v>81</v>
      </c>
      <c r="B19" s="30" t="s">
        <v>41</v>
      </c>
      <c r="C19" s="30" t="s">
        <v>109</v>
      </c>
      <c r="D19" s="30" t="s">
        <v>110</v>
      </c>
      <c r="E19" s="30" t="s">
        <v>111</v>
      </c>
      <c r="F19" s="30" t="s">
        <v>112</v>
      </c>
      <c r="G19" s="30" t="s">
        <v>113</v>
      </c>
    </row>
    <row r="20" customFormat="false" ht="15" hidden="false" customHeight="false" outlineLevel="0" collapsed="false">
      <c r="A20" s="1" t="s">
        <v>87</v>
      </c>
      <c r="B20" s="32" t="n">
        <f aca="false">Assumptions!C17</f>
        <v>9605.44</v>
      </c>
      <c r="C20" s="24" t="n">
        <f aca="false">B20*(1+Assumptions!$C$47*Assumptions!$F$17^0)*(1+Assumptions!$B$47*Assumptions!B$55)</f>
        <v>9570.860416</v>
      </c>
      <c r="D20" s="24" t="n">
        <f aca="false">C20*(1+Assumptions!$C$47*Assumptions!$F$17^1)*(1+Assumptions!$B$47*Assumptions!C$55)</f>
        <v>9536.4053185024</v>
      </c>
      <c r="E20" s="24" t="n">
        <f aca="false">D20*(1+Assumptions!$C$47*Assumptions!$F$17^2)*(1+Assumptions!$B$47*Assumptions!D$55)</f>
        <v>9502.07425935579</v>
      </c>
      <c r="F20" s="24" t="n">
        <f aca="false">E20*(1+Assumptions!$C$47*Assumptions!$F$17^3)*(1+Assumptions!$B$47*Assumptions!E$55)</f>
        <v>9528.29998431161</v>
      </c>
      <c r="G20" s="24" t="n">
        <f aca="false">F20*(1+Assumptions!$C$47*Assumptions!$F$17^4)*(1+Assumptions!$B$47*Assumptions!F$55)</f>
        <v>9554.59809226831</v>
      </c>
    </row>
    <row r="21" customFormat="false" ht="15" hidden="false" customHeight="false" outlineLevel="0" collapsed="false">
      <c r="A21" s="1" t="s">
        <v>89</v>
      </c>
      <c r="B21" s="32" t="n">
        <f aca="false">Assumptions!C18</f>
        <v>3902.21</v>
      </c>
      <c r="C21" s="24" t="n">
        <f aca="false">B21*(1+Assumptions!$C$48*Assumptions!$F$18^0)*(1+Assumptions!$B$48*Assumptions!B$55)</f>
        <v>4008.350112</v>
      </c>
      <c r="D21" s="24" t="n">
        <f aca="false">C21*(1+Assumptions!$C$48*Assumptions!$F$18^1)*(1+Assumptions!$B$48*Assumptions!C$55)</f>
        <v>4117.3772350464</v>
      </c>
      <c r="E21" s="24" t="n">
        <f aca="false">D21*(1+Assumptions!$C$48*Assumptions!$F$18^2)*(1+Assumptions!$B$48*Assumptions!D$55)</f>
        <v>4229.36989583966</v>
      </c>
      <c r="F21" s="24" t="n">
        <f aca="false">E21*(1+Assumptions!$C$48*Assumptions!$F$18^3)*(1+Assumptions!$B$48*Assumptions!E$55)</f>
        <v>4362.5104601607</v>
      </c>
      <c r="G21" s="24" t="n">
        <f aca="false">F21*(1+Assumptions!$C$48*Assumptions!$F$18^4)*(1+Assumptions!$B$48*Assumptions!F$55)</f>
        <v>4499.84228944655</v>
      </c>
    </row>
    <row r="22" customFormat="false" ht="15" hidden="false" customHeight="false" outlineLevel="0" collapsed="false">
      <c r="A22" s="1" t="s">
        <v>91</v>
      </c>
      <c r="B22" s="32" t="n">
        <f aca="false">Assumptions!C19</f>
        <v>4802.72</v>
      </c>
      <c r="C22" s="24" t="n">
        <f aca="false">B22*(1+Assumptions!$C$49*Assumptions!$F$19^0)*(1+Assumptions!$B$49*Assumptions!B$55)</f>
        <v>4927.59072</v>
      </c>
      <c r="D22" s="24" t="n">
        <f aca="false">C22*(1+Assumptions!$C$49*Assumptions!$F$19^1)*(1+Assumptions!$B$49*Assumptions!C$55)</f>
        <v>5055.70807872</v>
      </c>
      <c r="E22" s="24" t="n">
        <f aca="false">D22*(1+Assumptions!$C$49*Assumptions!$F$19^2)*(1+Assumptions!$B$49*Assumptions!D$55)</f>
        <v>5187.15648876672</v>
      </c>
      <c r="F22" s="24" t="n">
        <f aca="false">E22*(1+Assumptions!$C$49*Assumptions!$F$19^3)*(1+Assumptions!$B$49*Assumptions!E$55)</f>
        <v>5350.033202514</v>
      </c>
      <c r="G22" s="24" t="n">
        <f aca="false">F22*(1+Assumptions!$C$49*Assumptions!$F$19^4)*(1+Assumptions!$B$49*Assumptions!F$55)</f>
        <v>5518.02424507294</v>
      </c>
    </row>
    <row r="23" customFormat="false" ht="15" hidden="false" customHeight="false" outlineLevel="0" collapsed="false">
      <c r="A23" s="1" t="s">
        <v>93</v>
      </c>
      <c r="B23" s="32" t="n">
        <f aca="false">Assumptions!C20</f>
        <v>3001.7</v>
      </c>
      <c r="C23" s="24" t="n">
        <f aca="false">B23*(1+Assumptions!$C$50*Assumptions!$F$20^0)*(1+Assumptions!$B$50*Assumptions!B$55)</f>
        <v>2927.25784</v>
      </c>
      <c r="D23" s="24" t="n">
        <f aca="false">C23*(1+Assumptions!$C$50*Assumptions!$F$20^1)*(1+Assumptions!$B$50*Assumptions!C$55)</f>
        <v>2854.661845568</v>
      </c>
      <c r="E23" s="24" t="n">
        <f aca="false">D23*(1+Assumptions!$C$50*Assumptions!$F$20^2)*(1+Assumptions!$B$50*Assumptions!D$55)</f>
        <v>2783.86623179791</v>
      </c>
      <c r="F23" s="24" t="n">
        <f aca="false">E23*(1+Assumptions!$C$50*Assumptions!$F$20^3)*(1+Assumptions!$B$50*Assumptions!E$55)</f>
        <v>2738.43353489497</v>
      </c>
      <c r="G23" s="24" t="n">
        <f aca="false">F23*(1+Assumptions!$C$50*Assumptions!$F$20^4)*(1+Assumptions!$B$50*Assumptions!F$55)</f>
        <v>2693.74229960549</v>
      </c>
    </row>
    <row r="24" customFormat="false" ht="15" hidden="false" customHeight="false" outlineLevel="0" collapsed="false">
      <c r="A24" s="1" t="s">
        <v>95</v>
      </c>
      <c r="B24" s="32" t="n">
        <f aca="false">Assumptions!C21</f>
        <v>2701.53</v>
      </c>
      <c r="C24" s="24" t="n">
        <f aca="false">B24*(1+Assumptions!$C$51*Assumptions!$F$21^0)*(1+Assumptions!$B$51*Assumptions!B$55)</f>
        <v>2859.299352</v>
      </c>
      <c r="D24" s="24" t="n">
        <f aca="false">C24*(1+Assumptions!$C$51*Assumptions!$F$21^1)*(1+Assumptions!$B$51*Assumptions!C$55)</f>
        <v>3026.2824341568</v>
      </c>
      <c r="E24" s="24" t="n">
        <f aca="false">D24*(1+Assumptions!$C$51*Assumptions!$F$21^2)*(1+Assumptions!$B$51*Assumptions!D$55)</f>
        <v>3203.01732831156</v>
      </c>
      <c r="F24" s="24" t="n">
        <f aca="false">E24*(1+Assumptions!$C$51*Assumptions!$F$21^3)*(1+Assumptions!$B$51*Assumptions!E$55)</f>
        <v>3396.99205771411</v>
      </c>
      <c r="G24" s="24" t="n">
        <f aca="false">F24*(1+Assumptions!$C$51*Assumptions!$F$21^4)*(1+Assumptions!$B$51*Assumptions!F$55)</f>
        <v>3602.71389672927</v>
      </c>
    </row>
    <row r="25" customFormat="false" ht="15" hidden="false" customHeight="false" outlineLevel="0" collapsed="false">
      <c r="A25" s="1" t="s">
        <v>97</v>
      </c>
      <c r="B25" s="32" t="n">
        <f aca="false">Assumptions!C22</f>
        <v>4502.55</v>
      </c>
      <c r="C25" s="24" t="n">
        <f aca="false">B25*(1+Assumptions!$C$52*Assumptions!$F$22^0)*(1+Assumptions!$B$52*Assumptions!B$55)</f>
        <v>5206.74882</v>
      </c>
      <c r="D25" s="24" t="n">
        <f aca="false">C25*(1+Assumptions!$C$52*Assumptions!$F$22^1)*(1+Assumptions!$B$52*Assumptions!C$55)</f>
        <v>5910.86787642624</v>
      </c>
      <c r="E25" s="24" t="n">
        <f aca="false">D25*(1+Assumptions!$C$52*Assumptions!$F$22^2)*(1+Assumptions!$B$52*Assumptions!D$55)</f>
        <v>6600.0996600279</v>
      </c>
      <c r="F25" s="24" t="n">
        <f aca="false">E25*(1+Assumptions!$C$52*Assumptions!$F$22^3)*(1+Assumptions!$B$52*Assumptions!E$55)</f>
        <v>7276.32600964646</v>
      </c>
      <c r="G25" s="24" t="n">
        <f aca="false">F25*(1+Assumptions!$C$52*Assumptions!$F$22^4)*(1+Assumptions!$B$52*Assumptions!F$55)</f>
        <v>7916.65835593814</v>
      </c>
    </row>
    <row r="26" customFormat="false" ht="15" hidden="false" customHeight="false" outlineLevel="0" collapsed="false">
      <c r="A26" s="1" t="s">
        <v>99</v>
      </c>
      <c r="B26" s="32" t="n">
        <f aca="false">Assumptions!C23</f>
        <v>1500.85</v>
      </c>
      <c r="C26" s="24" t="n">
        <f aca="false">B26*(1+Assumptions!$C$53*Assumptions!$F$23^0)*(1+Assumptions!$B$53*Assumptions!B$55)</f>
        <v>1649.284065</v>
      </c>
      <c r="D26" s="24" t="n">
        <f aca="false">C26*(1+Assumptions!$C$53*Assumptions!$F$23^1)*(1+Assumptions!$B$53*Assumptions!C$55)</f>
        <v>1798.02969625422</v>
      </c>
      <c r="E26" s="24" t="n">
        <f aca="false">D26*(1+Assumptions!$C$53*Assumptions!$F$23^2)*(1+Assumptions!$B$53*Assumptions!D$55)</f>
        <v>1945.77911856333</v>
      </c>
      <c r="F26" s="24" t="n">
        <f aca="false">E26*(1+Assumptions!$C$53*Assumptions!$F$23^3)*(1+Assumptions!$B$53*Assumptions!E$55)</f>
        <v>2093.43413672483</v>
      </c>
      <c r="G26" s="24" t="n">
        <f aca="false">F26*(1+Assumptions!$C$53*Assumptions!$F$23^4)*(1+Assumptions!$B$53*Assumptions!F$55)</f>
        <v>2238.07786778638</v>
      </c>
    </row>
    <row r="27" customFormat="false" ht="15" hidden="false" customHeight="false" outlineLevel="0" collapsed="false">
      <c r="A27" s="5" t="s">
        <v>137</v>
      </c>
      <c r="B27" s="27" t="n">
        <f aca="false">SUM(B20:B26)</f>
        <v>30017</v>
      </c>
      <c r="C27" s="27" t="n">
        <f aca="false">SUM(C20:C26)</f>
        <v>31149.391325</v>
      </c>
      <c r="D27" s="27" t="n">
        <f aca="false">SUM(D20:D26)</f>
        <v>32299.3324846741</v>
      </c>
      <c r="E27" s="27" t="n">
        <f aca="false">SUM(E20:E26)</f>
        <v>33451.3629826629</v>
      </c>
      <c r="F27" s="27" t="n">
        <f aca="false">SUM(F20:F26)</f>
        <v>34746.0293859667</v>
      </c>
      <c r="G27" s="27" t="n">
        <f aca="false">SUM(G20:G26)</f>
        <v>36023.6570468471</v>
      </c>
    </row>
    <row r="28" customFormat="false" ht="15" hidden="false" customHeight="false" outlineLevel="0" collapsed="false">
      <c r="A28" s="1" t="s">
        <v>138</v>
      </c>
      <c r="B28" s="1"/>
      <c r="C28" s="17" t="n">
        <f aca="false">C27/B27-1</f>
        <v>0.037725</v>
      </c>
      <c r="D28" s="17" t="n">
        <f aca="false">D27/C27-1</f>
        <v>0.0369169704690548</v>
      </c>
      <c r="E28" s="17" t="n">
        <f aca="false">E27/D27-1</f>
        <v>0.0356673159897485</v>
      </c>
      <c r="F28" s="17" t="n">
        <f aca="false">F27/E27-1</f>
        <v>0.0387029492333328</v>
      </c>
      <c r="G28" s="17" t="n">
        <f aca="false">G27/F27-1</f>
        <v>0.0367704650994287</v>
      </c>
    </row>
    <row r="29" customFormat="false" ht="15" hidden="false" customHeight="false" outlineLevel="0" collapsed="false">
      <c r="A29" s="1" t="s">
        <v>139</v>
      </c>
      <c r="B29" s="1"/>
      <c r="C29" s="26" t="n">
        <f aca="false">(G27/B27)^(1/5)-1</f>
        <v>0.0371560447228521</v>
      </c>
      <c r="D29" s="1"/>
      <c r="E29" s="1"/>
      <c r="F29" s="1"/>
      <c r="G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</row>
    <row r="32" customFormat="false" ht="15" hidden="false" customHeight="false" outlineLevel="0" collapsed="false">
      <c r="A32" s="18" t="s">
        <v>141</v>
      </c>
      <c r="B32" s="18"/>
      <c r="C32" s="18"/>
      <c r="D32" s="18"/>
      <c r="E32" s="18"/>
      <c r="F32" s="18"/>
      <c r="G32" s="18"/>
    </row>
    <row r="33" customFormat="false" ht="15" hidden="false" customHeight="false" outlineLevel="0" collapsed="false">
      <c r="A33" s="29" t="s">
        <v>81</v>
      </c>
      <c r="B33" s="30" t="s">
        <v>41</v>
      </c>
      <c r="C33" s="30" t="s">
        <v>109</v>
      </c>
      <c r="D33" s="30" t="s">
        <v>110</v>
      </c>
      <c r="E33" s="30" t="s">
        <v>111</v>
      </c>
      <c r="F33" s="30" t="s">
        <v>112</v>
      </c>
      <c r="G33" s="30" t="s">
        <v>113</v>
      </c>
    </row>
    <row r="34" customFormat="false" ht="15" hidden="false" customHeight="false" outlineLevel="0" collapsed="false">
      <c r="A34" s="1" t="s">
        <v>87</v>
      </c>
      <c r="B34" s="32" t="n">
        <f aca="false">Assumptions!C17</f>
        <v>9605.44</v>
      </c>
      <c r="C34" s="24" t="n">
        <f aca="false">B34*(1+Assumptions!$C$64*Assumptions!$F$17^0)*(1+Assumptions!$B$64*Assumptions!B$72)</f>
        <v>9092.1252864</v>
      </c>
      <c r="D34" s="24" t="n">
        <f aca="false">C34*(1+Assumptions!$C$64*Assumptions!$F$17^1)*(1+Assumptions!$B$64*Assumptions!C$72)</f>
        <v>8439.31069083648</v>
      </c>
      <c r="E34" s="24" t="n">
        <f aca="false">D34*(1+Assumptions!$C$64*Assumptions!$F$17^2)*(1+Assumptions!$B$64*Assumptions!D$72)</f>
        <v>7755.89531109254</v>
      </c>
      <c r="F34" s="24" t="n">
        <f aca="false">E34*(1+Assumptions!$C$64*Assumptions!$F$17^3)*(1+Assumptions!$B$64*Assumptions!E$72)</f>
        <v>7199.0220277561</v>
      </c>
      <c r="G34" s="24" t="n">
        <f aca="false">F34*(1+Assumptions!$C$64*Assumptions!$F$17^4)*(1+Assumptions!$B$64*Assumptions!F$72)</f>
        <v>6748.21926837801</v>
      </c>
    </row>
    <row r="35" customFormat="false" ht="15" hidden="false" customHeight="false" outlineLevel="0" collapsed="false">
      <c r="A35" s="1" t="s">
        <v>89</v>
      </c>
      <c r="B35" s="32" t="n">
        <f aca="false">Assumptions!C18</f>
        <v>3902.21</v>
      </c>
      <c r="C35" s="24" t="n">
        <f aca="false">B35*(1+Assumptions!$C$65*Assumptions!$F$18^0)*(1+Assumptions!$B$65*Assumptions!B$72)</f>
        <v>3826.3510376</v>
      </c>
      <c r="D35" s="24" t="n">
        <f aca="false">C35*(1+Assumptions!$C$65*Assumptions!$F$18^1)*(1+Assumptions!$B$65*Assumptions!C$72)</f>
        <v>3704.67307460432</v>
      </c>
      <c r="E35" s="24" t="n">
        <f aca="false">D35*(1+Assumptions!$C$65*Assumptions!$F$18^2)*(1+Assumptions!$B$65*Assumptions!D$72)</f>
        <v>3563.96959123085</v>
      </c>
      <c r="F35" s="24" t="n">
        <f aca="false">E35*(1+Assumptions!$C$65*Assumptions!$F$18^3)*(1+Assumptions!$B$65*Assumptions!E$72)</f>
        <v>3450.63535822971</v>
      </c>
      <c r="G35" s="24" t="n">
        <f aca="false">F35*(1+Assumptions!$C$65*Assumptions!$F$18^4)*(1+Assumptions!$B$65*Assumptions!F$72)</f>
        <v>3362.23008035186</v>
      </c>
    </row>
    <row r="36" customFormat="false" ht="15" hidden="false" customHeight="false" outlineLevel="0" collapsed="false">
      <c r="A36" s="1" t="s">
        <v>91</v>
      </c>
      <c r="B36" s="32" t="n">
        <f aca="false">Assumptions!C19</f>
        <v>4802.72</v>
      </c>
      <c r="C36" s="24" t="n">
        <f aca="false">B36*(1+Assumptions!$C$66*Assumptions!$F$19^0)*(1+Assumptions!$B$66*Assumptions!B$72)</f>
        <v>4675.1597568</v>
      </c>
      <c r="D36" s="24" t="n">
        <f aca="false">C36*(1+Assumptions!$C$66*Assumptions!$F$19^1)*(1+Assumptions!$B$66*Assumptions!C$72)</f>
        <v>4473.19285530624</v>
      </c>
      <c r="E36" s="24" t="n">
        <f aca="false">D36*(1+Assumptions!$C$66*Assumptions!$F$19^2)*(1+Assumptions!$B$66*Assumptions!D$72)</f>
        <v>4242.73395940086</v>
      </c>
      <c r="F36" s="24" t="n">
        <f aca="false">E36*(1+Assumptions!$C$66*Assumptions!$F$19^3)*(1+Assumptions!$B$66*Assumptions!E$72)</f>
        <v>4059.44785235475</v>
      </c>
      <c r="G36" s="24" t="n">
        <f aca="false">F36*(1+Assumptions!$C$66*Assumptions!$F$19^4)*(1+Assumptions!$B$66*Assumptions!F$72)</f>
        <v>3917.85431126461</v>
      </c>
    </row>
    <row r="37" customFormat="false" ht="15" hidden="false" customHeight="false" outlineLevel="0" collapsed="false">
      <c r="A37" s="1" t="s">
        <v>93</v>
      </c>
      <c r="B37" s="32" t="n">
        <f aca="false">Assumptions!C20</f>
        <v>3001.7</v>
      </c>
      <c r="C37" s="24" t="n">
        <f aca="false">B37*(1+Assumptions!$C$67*Assumptions!$F$20^0)*(1+Assumptions!$B$67*Assumptions!B$72)</f>
        <v>2767.807536</v>
      </c>
      <c r="D37" s="24" t="n">
        <f aca="false">C37*(1+Assumptions!$C$67*Assumptions!$F$20^1)*(1+Assumptions!$B$67*Assumptions!C$72)</f>
        <v>2484.3840443136</v>
      </c>
      <c r="E37" s="24" t="n">
        <f aca="false">D37*(1+Assumptions!$C$67*Assumptions!$F$20^2)*(1+Assumptions!$B$67*Assumptions!D$72)</f>
        <v>2199.57425747349</v>
      </c>
      <c r="F37" s="24" t="n">
        <f aca="false">E37*(1+Assumptions!$C$67*Assumptions!$F$20^3)*(1+Assumptions!$B$67*Assumptions!E$72)</f>
        <v>1974.3378535082</v>
      </c>
      <c r="G37" s="24" t="n">
        <f aca="false">F37*(1+Assumptions!$C$67*Assumptions!$F$20^4)*(1+Assumptions!$B$67*Assumptions!F$72)</f>
        <v>1796.33155263591</v>
      </c>
    </row>
    <row r="38" customFormat="false" ht="15" hidden="false" customHeight="false" outlineLevel="0" collapsed="false">
      <c r="A38" s="1" t="s">
        <v>95</v>
      </c>
      <c r="B38" s="32" t="n">
        <f aca="false">Assumptions!C21</f>
        <v>2701.53</v>
      </c>
      <c r="C38" s="24" t="n">
        <f aca="false">B38*(1+Assumptions!$C$68*Assumptions!$F$21^0)*(1+Assumptions!$B$68*Assumptions!B$72)</f>
        <v>2719.6842816</v>
      </c>
      <c r="D38" s="24" t="n">
        <f aca="false">C38*(1+Assumptions!$C$68*Assumptions!$F$21^1)*(1+Assumptions!$B$68*Assumptions!C$72)</f>
        <v>2715.33278674944</v>
      </c>
      <c r="E38" s="24" t="n">
        <f aca="false">D38*(1+Assumptions!$C$68*Assumptions!$F$21^2)*(1+Assumptions!$B$68*Assumptions!D$72)</f>
        <v>2699.69246989776</v>
      </c>
      <c r="F38" s="24" t="n">
        <f aca="false">E38*(1+Assumptions!$C$68*Assumptions!$F$21^3)*(1+Assumptions!$B$68*Assumptions!E$72)</f>
        <v>2695.37296194593</v>
      </c>
      <c r="G38" s="24" t="n">
        <f aca="false">F38*(1+Assumptions!$C$68*Assumptions!$F$21^4)*(1+Assumptions!$B$68*Assumptions!F$72)</f>
        <v>2702.27311672851</v>
      </c>
    </row>
    <row r="39" customFormat="false" ht="15" hidden="false" customHeight="false" outlineLevel="0" collapsed="false">
      <c r="A39" s="1" t="s">
        <v>97</v>
      </c>
      <c r="B39" s="32" t="n">
        <f aca="false">Assumptions!C22</f>
        <v>4502.55</v>
      </c>
      <c r="C39" s="24" t="n">
        <f aca="false">B39*(1+Assumptions!$C$69*Assumptions!$F$22^0)*(1+Assumptions!$B$69*Assumptions!B$72)</f>
        <v>4837.899924</v>
      </c>
      <c r="D39" s="24" t="n">
        <f aca="false">C39*(1+Assumptions!$C$69*Assumptions!$F$22^1)*(1+Assumptions!$B$69*Assumptions!C$72)</f>
        <v>5093.96029117747</v>
      </c>
      <c r="E39" s="24" t="n">
        <f aca="false">D39*(1+Assumptions!$C$69*Assumptions!$F$22^2)*(1+Assumptions!$B$69*Assumptions!D$72)</f>
        <v>5284.6572996178</v>
      </c>
      <c r="F39" s="24" t="n">
        <f aca="false">E39*(1+Assumptions!$C$69*Assumptions!$F$22^3)*(1+Assumptions!$B$69*Assumptions!E$72)</f>
        <v>5453.5731430456</v>
      </c>
      <c r="G39" s="24" t="n">
        <f aca="false">F39*(1+Assumptions!$C$69*Assumptions!$F$22^4)*(1+Assumptions!$B$69*Assumptions!F$72)</f>
        <v>5604.04647518267</v>
      </c>
    </row>
    <row r="40" customFormat="false" ht="15" hidden="false" customHeight="false" outlineLevel="0" collapsed="false">
      <c r="A40" s="1" t="s">
        <v>99</v>
      </c>
      <c r="B40" s="32" t="n">
        <f aca="false">Assumptions!C23</f>
        <v>1500.85</v>
      </c>
      <c r="C40" s="24" t="n">
        <f aca="false">B40*(1+Assumptions!$C$70*Assumptions!$F$23^0)*(1+Assumptions!$B$70*Assumptions!B$72)</f>
        <v>1552.719376</v>
      </c>
      <c r="D40" s="24" t="n">
        <f aca="false">C40*(1+Assumptions!$C$70*Assumptions!$F$23^1)*(1+Assumptions!$B$70*Assumptions!C$72)</f>
        <v>1589.27660098854</v>
      </c>
      <c r="E40" s="24" t="n">
        <f aca="false">D40*(1+Assumptions!$C$70*Assumptions!$F$23^2)*(1+Assumptions!$B$70*Assumptions!D$72)</f>
        <v>1614.87687190467</v>
      </c>
      <c r="F40" s="24" t="n">
        <f aca="false">E40*(1+Assumptions!$C$70*Assumptions!$F$23^3)*(1+Assumptions!$B$70*Assumptions!E$72)</f>
        <v>1639.61620681038</v>
      </c>
      <c r="G40" s="24" t="n">
        <f aca="false">F40*(1+Assumptions!$C$70*Assumptions!$F$23^4)*(1+Assumptions!$B$70*Assumptions!F$72)</f>
        <v>1663.92027228374</v>
      </c>
    </row>
    <row r="41" customFormat="false" ht="15" hidden="false" customHeight="false" outlineLevel="0" collapsed="false">
      <c r="A41" s="5" t="s">
        <v>137</v>
      </c>
      <c r="B41" s="27" t="n">
        <f aca="false">SUM(B34:B40)</f>
        <v>30017</v>
      </c>
      <c r="C41" s="27" t="n">
        <f aca="false">SUM(C34:C40)</f>
        <v>29471.7471984</v>
      </c>
      <c r="D41" s="27" t="n">
        <f aca="false">SUM(D34:D40)</f>
        <v>28500.1303439761</v>
      </c>
      <c r="E41" s="27" t="n">
        <f aca="false">SUM(E34:E40)</f>
        <v>27361.399760618</v>
      </c>
      <c r="F41" s="27" t="n">
        <f aca="false">SUM(F34:F40)</f>
        <v>26472.0054036507</v>
      </c>
      <c r="G41" s="27" t="n">
        <f aca="false">SUM(G34:G40)</f>
        <v>25794.8750768253</v>
      </c>
    </row>
    <row r="42" customFormat="false" ht="15" hidden="false" customHeight="false" outlineLevel="0" collapsed="false">
      <c r="A42" s="1" t="s">
        <v>138</v>
      </c>
      <c r="B42" s="1"/>
      <c r="C42" s="17" t="n">
        <f aca="false">C41/B41-1</f>
        <v>-0.0181647999999999</v>
      </c>
      <c r="D42" s="17" t="n">
        <f aca="false">D41/C41-1</f>
        <v>-0.0329677384880884</v>
      </c>
      <c r="E42" s="17" t="n">
        <f aca="false">E41/D41-1</f>
        <v>-0.0399552763308257</v>
      </c>
      <c r="F42" s="17" t="n">
        <f aca="false">F41/E41-1</f>
        <v>-0.0325054406846337</v>
      </c>
      <c r="G42" s="17" t="n">
        <f aca="false">G41/F41-1</f>
        <v>-0.025579109572559</v>
      </c>
    </row>
    <row r="43" customFormat="false" ht="15" hidden="false" customHeight="false" outlineLevel="0" collapsed="false">
      <c r="A43" s="1" t="s">
        <v>139</v>
      </c>
      <c r="B43" s="1"/>
      <c r="C43" s="26" t="n">
        <f aca="false">(G41/B41)^(1/5)-1</f>
        <v>-0.0298626418931529</v>
      </c>
      <c r="D43" s="1"/>
      <c r="E43" s="1"/>
      <c r="F43" s="1"/>
      <c r="G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18" t="s">
        <v>142</v>
      </c>
      <c r="B46" s="18"/>
      <c r="C46" s="18"/>
      <c r="D46" s="18"/>
      <c r="E46" s="18"/>
      <c r="F46" s="18"/>
      <c r="G46" s="18"/>
    </row>
    <row r="47" customFormat="false" ht="15" hidden="false" customHeight="false" outlineLevel="0" collapsed="false">
      <c r="A47" s="29" t="s">
        <v>81</v>
      </c>
      <c r="B47" s="30" t="s">
        <v>41</v>
      </c>
      <c r="C47" s="30" t="s">
        <v>109</v>
      </c>
      <c r="D47" s="30" t="s">
        <v>110</v>
      </c>
      <c r="E47" s="30" t="s">
        <v>111</v>
      </c>
      <c r="F47" s="30" t="s">
        <v>112</v>
      </c>
      <c r="G47" s="30" t="s">
        <v>113</v>
      </c>
    </row>
    <row r="48" customFormat="false" ht="15" hidden="false" customHeight="false" outlineLevel="0" collapsed="false">
      <c r="A48" s="1" t="s">
        <v>87</v>
      </c>
      <c r="B48" s="32" t="n">
        <f aca="false">Assumptions!C17</f>
        <v>9605.44</v>
      </c>
      <c r="C48" s="24" t="n">
        <f aca="false">B48*(1+Assumptions!$C$81*Assumptions!$F$17^0)*(1+Assumptions!$B$81*Assumptions!B$89)</f>
        <v>8856.21568</v>
      </c>
      <c r="D48" s="24" t="n">
        <f aca="false">C48*(1+Assumptions!$C$81*Assumptions!$F$17^1)*(1+Assumptions!$B$81*Assumptions!C$89)</f>
        <v>7704.9076416</v>
      </c>
      <c r="E48" s="24" t="n">
        <f aca="false">D48*(1+Assumptions!$C$81*Assumptions!$F$17^2)*(1+Assumptions!$B$81*Assumptions!D$89)</f>
        <v>6502.9420495104</v>
      </c>
      <c r="F48" s="24" t="n">
        <f aca="false">E48*(1+Assumptions!$C$81*Assumptions!$F$17^3)*(1+Assumptions!$B$81*Assumptions!E$89)</f>
        <v>5573.02133643041</v>
      </c>
      <c r="G48" s="24" t="n">
        <f aca="false">F48*(1+Assumptions!$C$81*Assumptions!$F$17^4)*(1+Assumptions!$B$81*Assumptions!F$89)</f>
        <v>4920.97784006805</v>
      </c>
    </row>
    <row r="49" customFormat="false" ht="15" hidden="false" customHeight="false" outlineLevel="0" collapsed="false">
      <c r="A49" s="1" t="s">
        <v>89</v>
      </c>
      <c r="B49" s="32" t="n">
        <f aca="false">Assumptions!C18</f>
        <v>3902.21</v>
      </c>
      <c r="C49" s="24" t="n">
        <f aca="false">B49*(1+Assumptions!$C$82*Assumptions!$F$18^0)*(1+Assumptions!$B$82*Assumptions!B$89)</f>
        <v>3691.49066</v>
      </c>
      <c r="D49" s="24" t="n">
        <f aca="false">C49*(1+Assumptions!$C$82*Assumptions!$F$18^1)*(1+Assumptions!$B$82*Assumptions!C$89)</f>
        <v>3359.2565006</v>
      </c>
      <c r="E49" s="24" t="n">
        <f aca="false">D49*(1+Assumptions!$C$82*Assumptions!$F$18^2)*(1+Assumptions!$B$82*Assumptions!D$89)</f>
        <v>2996.4567985352</v>
      </c>
      <c r="F49" s="24" t="n">
        <f aca="false">E49*(1+Assumptions!$C$82*Assumptions!$F$18^3)*(1+Assumptions!$B$82*Assumptions!E$89)</f>
        <v>2699.80757548022</v>
      </c>
      <c r="G49" s="24" t="n">
        <f aca="false">F49*(1+Assumptions!$C$82*Assumptions!$F$18^4)*(1+Assumptions!$B$82*Assumptions!F$89)</f>
        <v>2481.12316186632</v>
      </c>
    </row>
    <row r="50" customFormat="false" ht="15" hidden="false" customHeight="false" outlineLevel="0" collapsed="false">
      <c r="A50" s="1" t="s">
        <v>91</v>
      </c>
      <c r="B50" s="32" t="n">
        <f aca="false">Assumptions!C19</f>
        <v>4802.72</v>
      </c>
      <c r="C50" s="24" t="n">
        <f aca="false">B50*(1+Assumptions!$C$83*Assumptions!$F$19^0)*(1+Assumptions!$B$83*Assumptions!B$89)</f>
        <v>4530.5978848</v>
      </c>
      <c r="D50" s="24" t="n">
        <f aca="false">C50*(1+Assumptions!$C$83*Assumptions!$F$19^1)*(1+Assumptions!$B$83*Assumptions!C$89)</f>
        <v>4072.55443864672</v>
      </c>
      <c r="E50" s="24" t="n">
        <f aca="false">D50*(1+Assumptions!$C$83*Assumptions!$F$19^2)*(1+Assumptions!$B$83*Assumptions!D$89)</f>
        <v>3570.32702527281</v>
      </c>
      <c r="F50" s="24" t="n">
        <f aca="false">E50*(1+Assumptions!$C$83*Assumptions!$F$19^3)*(1+Assumptions!$B$83*Assumptions!E$89)</f>
        <v>3169.70062976695</v>
      </c>
      <c r="G50" s="24" t="n">
        <f aca="false">F50*(1+Assumptions!$C$83*Assumptions!$F$19^4)*(1+Assumptions!$B$83*Assumptions!F$89)</f>
        <v>2884.45927009422</v>
      </c>
    </row>
    <row r="51" customFormat="false" ht="15" hidden="false" customHeight="false" outlineLevel="0" collapsed="false">
      <c r="A51" s="1" t="s">
        <v>93</v>
      </c>
      <c r="B51" s="32" t="n">
        <f aca="false">Assumptions!C20</f>
        <v>3001.7</v>
      </c>
      <c r="C51" s="24" t="n">
        <f aca="false">B51*(1+Assumptions!$C$84*Assumptions!$F$20^0)*(1+Assumptions!$B$84*Assumptions!B$89)</f>
        <v>2623.966072</v>
      </c>
      <c r="D51" s="24" t="n">
        <f aca="false">C51*(1+Assumptions!$C$84*Assumptions!$F$20^1)*(1+Assumptions!$B$84*Assumptions!C$89)</f>
        <v>2108.6191354592</v>
      </c>
      <c r="E51" s="24" t="n">
        <f aca="false">D51*(1+Assumptions!$C$84*Assumptions!$F$20^2)*(1+Assumptions!$B$84*Assumptions!D$89)</f>
        <v>1620.09425415601</v>
      </c>
      <c r="F51" s="24" t="n">
        <f aca="false">E51*(1+Assumptions!$C$84*Assumptions!$F$20^3)*(1+Assumptions!$B$84*Assumptions!E$89)</f>
        <v>1273.32927999646</v>
      </c>
      <c r="G51" s="24" t="n">
        <f aca="false">F51*(1+Assumptions!$C$84*Assumptions!$F$20^4)*(1+Assumptions!$B$84*Assumptions!F$89)</f>
        <v>1045.70893790429</v>
      </c>
    </row>
    <row r="52" customFormat="false" ht="15" hidden="false" customHeight="false" outlineLevel="0" collapsed="false">
      <c r="A52" s="1" t="s">
        <v>95</v>
      </c>
      <c r="B52" s="32" t="n">
        <f aca="false">Assumptions!C21</f>
        <v>2701.53</v>
      </c>
      <c r="C52" s="24" t="n">
        <f aca="false">B52*(1+Assumptions!$C$85*Assumptions!$F$21^0)*(1+Assumptions!$B$85*Assumptions!B$89)</f>
        <v>2630.3176692</v>
      </c>
      <c r="D52" s="24" t="n">
        <f aca="false">C52*(1+Assumptions!$C$85*Assumptions!$F$21^1)*(1+Assumptions!$B$85*Assumptions!C$89)</f>
        <v>2497.22359513848</v>
      </c>
      <c r="E52" s="24" t="n">
        <f aca="false">D52*(1+Assumptions!$C$85*Assumptions!$F$21^2)*(1+Assumptions!$B$85*Assumptions!D$89)</f>
        <v>2340.59773125139</v>
      </c>
      <c r="F52" s="24" t="n">
        <f aca="false">E52*(1+Assumptions!$C$85*Assumptions!$F$21^3)*(1+Assumptions!$B$85*Assumptions!E$89)</f>
        <v>2207.97946379869</v>
      </c>
      <c r="G52" s="24" t="n">
        <f aca="false">F52*(1+Assumptions!$C$85*Assumptions!$F$21^4)*(1+Assumptions!$B$85*Assumptions!F$89)</f>
        <v>2109.6360584811</v>
      </c>
    </row>
    <row r="53" customFormat="false" ht="15" hidden="false" customHeight="false" outlineLevel="0" collapsed="false">
      <c r="A53" s="1" t="s">
        <v>97</v>
      </c>
      <c r="B53" s="32" t="n">
        <f aca="false">Assumptions!C22</f>
        <v>4502.55</v>
      </c>
      <c r="C53" s="24" t="n">
        <f aca="false">B53*(1+Assumptions!$C$86*Assumptions!$F$22^0)*(1+Assumptions!$B$86*Assumptions!B$89)</f>
        <v>4529.115045</v>
      </c>
      <c r="D53" s="24" t="n">
        <f aca="false">C53*(1+Assumptions!$C$86*Assumptions!$F$22^1)*(1+Assumptions!$B$86*Assumptions!C$89)</f>
        <v>4397.4083794914</v>
      </c>
      <c r="E53" s="24" t="n">
        <f aca="false">D53*(1+Assumptions!$C$86*Assumptions!$F$22^2)*(1+Assumptions!$B$86*Assumptions!D$89)</f>
        <v>4183.9912452619</v>
      </c>
      <c r="F53" s="24" t="n">
        <f aca="false">E53*(1+Assumptions!$C$86*Assumptions!$F$22^3)*(1+Assumptions!$B$86*Assumptions!E$89)</f>
        <v>3993.41016287601</v>
      </c>
      <c r="G53" s="24" t="n">
        <f aca="false">F53*(1+Assumptions!$C$86*Assumptions!$F$22^4)*(1+Assumptions!$B$86*Assumptions!F$89)</f>
        <v>3854.02308680995</v>
      </c>
    </row>
    <row r="54" customFormat="false" ht="15" hidden="false" customHeight="false" outlineLevel="0" collapsed="false">
      <c r="A54" s="1" t="s">
        <v>99</v>
      </c>
      <c r="B54" s="32" t="n">
        <f aca="false">Assumptions!C23</f>
        <v>1500.85</v>
      </c>
      <c r="C54" s="24" t="n">
        <f aca="false">B54*(1+Assumptions!$C$87*Assumptions!$F$23^0)*(1+Assumptions!$B$87*Assumptions!B$89)</f>
        <v>1475.755788</v>
      </c>
      <c r="D54" s="24" t="n">
        <f aca="false">C54*(1+Assumptions!$C$87*Assumptions!$F$23^1)*(1+Assumptions!$B$87*Assumptions!C$89)</f>
        <v>1412.73511282925</v>
      </c>
      <c r="E54" s="24" t="n">
        <f aca="false">D54*(1+Assumptions!$C$87*Assumptions!$F$23^2)*(1+Assumptions!$B$87*Assumptions!D$89)</f>
        <v>1333.21110053624</v>
      </c>
      <c r="F54" s="24" t="n">
        <f aca="false">E54*(1+Assumptions!$C$87*Assumptions!$F$23^3)*(1+Assumptions!$B$87*Assumptions!E$89)</f>
        <v>1264.61191236913</v>
      </c>
      <c r="G54" s="24" t="n">
        <f aca="false">F54*(1+Assumptions!$C$87*Assumptions!$F$23^4)*(1+Assumptions!$B$87*Assumptions!F$89)</f>
        <v>1213.46361472742</v>
      </c>
    </row>
    <row r="55" customFormat="false" ht="15" hidden="false" customHeight="false" outlineLevel="0" collapsed="false">
      <c r="A55" s="5" t="s">
        <v>137</v>
      </c>
      <c r="B55" s="27" t="n">
        <f aca="false">SUM(B48:B54)</f>
        <v>30017</v>
      </c>
      <c r="C55" s="27" t="n">
        <f aca="false">SUM(C48:C54)</f>
        <v>28337.458799</v>
      </c>
      <c r="D55" s="27" t="n">
        <f aca="false">SUM(D48:D54)</f>
        <v>25552.7048037651</v>
      </c>
      <c r="E55" s="27" t="n">
        <f aca="false">SUM(E48:E54)</f>
        <v>22547.620204524</v>
      </c>
      <c r="F55" s="27" t="n">
        <f aca="false">SUM(F48:F54)</f>
        <v>20181.8603607179</v>
      </c>
      <c r="G55" s="27" t="n">
        <f aca="false">SUM(G48:G54)</f>
        <v>18509.3919699514</v>
      </c>
    </row>
    <row r="56" customFormat="false" ht="15" hidden="false" customHeight="false" outlineLevel="0" collapsed="false">
      <c r="A56" s="1" t="s">
        <v>138</v>
      </c>
      <c r="B56" s="1"/>
      <c r="C56" s="17" t="n">
        <f aca="false">C55/B55-1</f>
        <v>-0.055953</v>
      </c>
      <c r="D56" s="17" t="n">
        <f aca="false">D55/C55-1</f>
        <v>-0.0982711263909529</v>
      </c>
      <c r="E56" s="17" t="n">
        <f aca="false">E55/D55-1</f>
        <v>-0.117603385720572</v>
      </c>
      <c r="F56" s="17" t="n">
        <f aca="false">F55/E55-1</f>
        <v>-0.104922817678622</v>
      </c>
      <c r="G56" s="17" t="n">
        <f aca="false">G55/F55-1</f>
        <v>-0.082869882204805</v>
      </c>
    </row>
    <row r="57" customFormat="false" ht="15" hidden="false" customHeight="false" outlineLevel="0" collapsed="false">
      <c r="A57" s="1" t="s">
        <v>139</v>
      </c>
      <c r="B57" s="1"/>
      <c r="C57" s="26" t="n">
        <f aca="false">(G55/B55)^(1/5)-1</f>
        <v>-0.0921690735817436</v>
      </c>
      <c r="D57" s="1"/>
      <c r="E57" s="1"/>
      <c r="F57" s="1"/>
      <c r="G57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2" t="s">
        <v>143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144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8" t="s">
        <v>136</v>
      </c>
      <c r="B4" s="18"/>
      <c r="C4" s="18"/>
      <c r="D4" s="18"/>
      <c r="E4" s="18"/>
      <c r="F4" s="18"/>
      <c r="G4" s="18"/>
    </row>
    <row r="5" customFormat="false" ht="15" hidden="false" customHeight="false" outlineLevel="0" collapsed="false">
      <c r="A5" s="33"/>
      <c r="B5" s="30" t="s">
        <v>145</v>
      </c>
      <c r="C5" s="30" t="s">
        <v>109</v>
      </c>
      <c r="D5" s="30" t="s">
        <v>110</v>
      </c>
      <c r="E5" s="30" t="s">
        <v>111</v>
      </c>
      <c r="F5" s="30" t="s">
        <v>112</v>
      </c>
      <c r="G5" s="30" t="s">
        <v>113</v>
      </c>
    </row>
    <row r="6" customFormat="false" ht="15" hidden="false" customHeight="false" outlineLevel="0" collapsed="false">
      <c r="A6" s="5" t="s">
        <v>43</v>
      </c>
      <c r="B6" s="10" t="n">
        <v>30017</v>
      </c>
      <c r="C6" s="27" t="n">
        <f aca="false">'Revenue Build'!C13</f>
        <v>32787.388998</v>
      </c>
      <c r="D6" s="27" t="n">
        <f aca="false">'Revenue Build'!D13</f>
        <v>35793.514284242</v>
      </c>
      <c r="E6" s="27" t="n">
        <f aca="false">'Revenue Build'!E13</f>
        <v>39139.4726129966</v>
      </c>
      <c r="F6" s="27" t="n">
        <f aca="false">'Revenue Build'!F13</f>
        <v>42697.6519196695</v>
      </c>
      <c r="G6" s="27" t="n">
        <f aca="false">'Revenue Build'!G13</f>
        <v>46582.6314544559</v>
      </c>
    </row>
    <row r="7" customFormat="false" ht="15" hidden="false" customHeight="false" outlineLevel="0" collapsed="false">
      <c r="A7" s="1" t="s">
        <v>146</v>
      </c>
      <c r="B7" s="1"/>
      <c r="C7" s="17" t="n">
        <f aca="false">C6/B6-1</f>
        <v>0.0922940000000001</v>
      </c>
      <c r="D7" s="17" t="n">
        <f aca="false">D6/C6-1</f>
        <v>0.0916854125354532</v>
      </c>
      <c r="E7" s="17" t="n">
        <f aca="false">E6/D6-1</f>
        <v>0.0934794583785148</v>
      </c>
      <c r="F7" s="17" t="n">
        <f aca="false">F6/E6-1</f>
        <v>0.0909102517005143</v>
      </c>
      <c r="G7" s="17" t="n">
        <f aca="false">G6/F6-1</f>
        <v>0.0909881307312999</v>
      </c>
    </row>
    <row r="8" customFormat="false" ht="15" hidden="false" customHeight="false" outlineLevel="0" collapsed="false">
      <c r="A8" s="1" t="s">
        <v>46</v>
      </c>
      <c r="B8" s="11" t="n">
        <v>0.25</v>
      </c>
      <c r="C8" s="17" t="n">
        <f aca="false">Assumptions!B39</f>
        <v>0.245</v>
      </c>
      <c r="D8" s="17" t="n">
        <f aca="false">Assumptions!C39</f>
        <v>0.255</v>
      </c>
      <c r="E8" s="17" t="n">
        <f aca="false">Assumptions!D39</f>
        <v>0.262</v>
      </c>
      <c r="F8" s="17" t="n">
        <f aca="false">Assumptions!E39</f>
        <v>0.267</v>
      </c>
      <c r="G8" s="17" t="n">
        <f aca="false">Assumptions!F39</f>
        <v>0.27</v>
      </c>
    </row>
    <row r="9" customFormat="false" ht="15" hidden="false" customHeight="false" outlineLevel="0" collapsed="false">
      <c r="A9" s="1" t="s">
        <v>147</v>
      </c>
      <c r="B9" s="24" t="n">
        <f aca="false">B6*B8</f>
        <v>7504.25</v>
      </c>
      <c r="C9" s="24" t="n">
        <f aca="false">C6*C8</f>
        <v>8032.91030451</v>
      </c>
      <c r="D9" s="24" t="n">
        <f aca="false">D6*D8</f>
        <v>9127.34614248171</v>
      </c>
      <c r="E9" s="24" t="n">
        <f aca="false">E6*E8</f>
        <v>10254.5418246051</v>
      </c>
      <c r="F9" s="24" t="n">
        <f aca="false">F6*F8</f>
        <v>11400.2730625518</v>
      </c>
      <c r="G9" s="24" t="n">
        <f aca="false">G6*G8</f>
        <v>12577.3104927031</v>
      </c>
    </row>
    <row r="10" customFormat="false" ht="15" hidden="false" customHeight="false" outlineLevel="0" collapsed="false">
      <c r="A10" s="1" t="s">
        <v>148</v>
      </c>
      <c r="B10" s="1"/>
      <c r="C10" s="24" t="n">
        <f aca="false">C6*(C8+Assumptions!$B$10)</f>
        <v>8557.508528478</v>
      </c>
      <c r="D10" s="24" t="n">
        <f aca="false">D6*(D8+Assumptions!$B$10)</f>
        <v>9700.04237102959</v>
      </c>
      <c r="E10" s="24" t="n">
        <f aca="false">E6*(E8+Assumptions!$B$10)</f>
        <v>10880.7733864131</v>
      </c>
      <c r="F10" s="24" t="n">
        <f aca="false">F6*(F8+Assumptions!$B$10)</f>
        <v>12083.4354932665</v>
      </c>
      <c r="G10" s="24" t="n">
        <f aca="false">G6*(G8+Assumptions!$B$10)</f>
        <v>13322.6325959744</v>
      </c>
    </row>
    <row r="11" customFormat="false" ht="15" hidden="false" customHeight="false" outlineLevel="0" collapsed="false">
      <c r="A11" s="5" t="s">
        <v>48</v>
      </c>
      <c r="B11" s="10" t="n">
        <v>5938</v>
      </c>
      <c r="C11" s="27" t="n">
        <f aca="false">C10*(1-Assumptions!$B$11)</f>
        <v>6375.34385371611</v>
      </c>
      <c r="D11" s="27" t="n">
        <f aca="false">D10*(1-Assumptions!$B$11)</f>
        <v>7226.53156641704</v>
      </c>
      <c r="E11" s="27" t="n">
        <f aca="false">E10*(1-Assumptions!$B$11)</f>
        <v>8106.17617287772</v>
      </c>
      <c r="F11" s="27" t="n">
        <f aca="false">F10*(1-Assumptions!$B$11)</f>
        <v>9002.15944248352</v>
      </c>
      <c r="G11" s="27" t="n">
        <f aca="false">G10*(1-Assumptions!$B$11)</f>
        <v>9925.36128400092</v>
      </c>
    </row>
    <row r="12" customFormat="false" ht="15" hidden="false" customHeight="false" outlineLevel="0" collapsed="false">
      <c r="A12" s="1" t="s">
        <v>149</v>
      </c>
      <c r="B12" s="11" t="n">
        <v>0.198</v>
      </c>
      <c r="C12" s="17" t="n">
        <f aca="false">C11/C6</f>
        <v>0.194445</v>
      </c>
      <c r="D12" s="17" t="n">
        <f aca="false">D11/D6</f>
        <v>0.201895</v>
      </c>
      <c r="E12" s="17" t="n">
        <f aca="false">E11/E6</f>
        <v>0.20711</v>
      </c>
      <c r="F12" s="17" t="n">
        <f aca="false">F11/F6</f>
        <v>0.210835</v>
      </c>
      <c r="G12" s="17" t="n">
        <f aca="false">G11/G6</f>
        <v>0.21307</v>
      </c>
    </row>
    <row r="13" customFormat="false" ht="15" hidden="false" customHeight="false" outlineLevel="0" collapsed="false">
      <c r="A13" s="1" t="s">
        <v>150</v>
      </c>
      <c r="B13" s="20" t="n">
        <v>88.9565912649499</v>
      </c>
      <c r="C13" s="16" t="n">
        <f aca="false">B13*(1+Assumptions!$B$9)</f>
        <v>90.7357230902489</v>
      </c>
      <c r="D13" s="16" t="n">
        <f aca="false">C13*(1+Assumptions!$B$9)</f>
        <v>92.5504375520539</v>
      </c>
      <c r="E13" s="16" t="n">
        <f aca="false">D13*(1+Assumptions!$B$9)</f>
        <v>94.4014463030949</v>
      </c>
      <c r="F13" s="16" t="n">
        <f aca="false">E13*(1+Assumptions!$B$9)</f>
        <v>96.2894752291568</v>
      </c>
      <c r="G13" s="16" t="n">
        <f aca="false">F13*(1+Assumptions!$B$9)</f>
        <v>98.21526473374</v>
      </c>
    </row>
    <row r="14" customFormat="false" ht="15" hidden="false" customHeight="false" outlineLevel="0" collapsed="false">
      <c r="A14" s="1" t="s">
        <v>49</v>
      </c>
      <c r="B14" s="12" t="n">
        <v>267021</v>
      </c>
      <c r="C14" s="34" t="n">
        <f aca="false">C6*C13/10</f>
        <v>297498.74489748</v>
      </c>
      <c r="D14" s="34" t="n">
        <f aca="false">D6*D13/10</f>
        <v>331270.540853229</v>
      </c>
      <c r="E14" s="34" t="n">
        <f aca="false">E6*E13/10</f>
        <v>369482.282220725</v>
      </c>
      <c r="F14" s="34" t="n">
        <f aca="false">F6*F13/10</f>
        <v>411133.449686218</v>
      </c>
      <c r="G14" s="34" t="n">
        <f aca="false">G6*G13/10</f>
        <v>457512.548029363</v>
      </c>
    </row>
    <row r="15" customFormat="false" ht="15" hidden="false" customHeight="false" outlineLevel="0" collapsed="false">
      <c r="A15" s="1" t="s">
        <v>50</v>
      </c>
      <c r="B15" s="12" t="n">
        <v>49454</v>
      </c>
      <c r="C15" s="34" t="n">
        <f aca="false">C11*C13/10</f>
        <v>57847.1434515905</v>
      </c>
      <c r="D15" s="34" t="n">
        <f aca="false">D11*D13/10</f>
        <v>66881.8658455626</v>
      </c>
      <c r="E15" s="34" t="n">
        <f aca="false">E11*E13/10</f>
        <v>76523.4754707344</v>
      </c>
      <c r="F15" s="34" t="n">
        <f aca="false">F11*F13/10</f>
        <v>86681.3208645937</v>
      </c>
      <c r="G15" s="34" t="n">
        <f aca="false">G11*G13/10</f>
        <v>97482.1986086164</v>
      </c>
    </row>
    <row r="16" customFormat="false" ht="15" hidden="false" customHeight="false" outlineLevel="0" collapsed="false">
      <c r="A16" s="1" t="s">
        <v>151</v>
      </c>
      <c r="B16" s="12" t="n">
        <v>42983</v>
      </c>
      <c r="C16" s="34" t="n">
        <f aca="false">C15*Assumptions!B40</f>
        <v>46277.7147612724</v>
      </c>
      <c r="D16" s="34" t="n">
        <f aca="false">D15*Assumptions!C40</f>
        <v>50161.399384172</v>
      </c>
      <c r="E16" s="34" t="n">
        <f aca="false">E15*Assumptions!D40</f>
        <v>60453.5456218802</v>
      </c>
      <c r="F16" s="34" t="n">
        <f aca="false">F15*Assumptions!E40</f>
        <v>72812.3095262587</v>
      </c>
      <c r="G16" s="34" t="n">
        <f aca="false">G15*Assumptions!F40</f>
        <v>85784.3347755824</v>
      </c>
    </row>
    <row r="17" customFormat="false" ht="15" hidden="false" customHeight="false" outlineLevel="0" collapsed="false">
      <c r="A17" s="5" t="s">
        <v>152</v>
      </c>
      <c r="B17" s="12" t="n">
        <v>39571</v>
      </c>
      <c r="C17" s="35" t="n">
        <f aca="false">C16*Assumptions!B41</f>
        <v>42575.4975803706</v>
      </c>
      <c r="D17" s="35" t="n">
        <f aca="false">D16*Assumptions!C41</f>
        <v>46148.4874334382</v>
      </c>
      <c r="E17" s="35" t="n">
        <f aca="false">E16*Assumptions!D41</f>
        <v>55617.2619721298</v>
      </c>
      <c r="F17" s="35" t="n">
        <f aca="false">F16*Assumptions!E41</f>
        <v>66987.324764158</v>
      </c>
      <c r="G17" s="35" t="n">
        <f aca="false">G16*Assumptions!F41</f>
        <v>78921.5879935358</v>
      </c>
    </row>
    <row r="18" customFormat="false" ht="15" hidden="false" customHeight="false" outlineLevel="0" collapsed="false">
      <c r="A18" s="1" t="s">
        <v>53</v>
      </c>
      <c r="B18" s="14" t="n">
        <v>110</v>
      </c>
      <c r="C18" s="36" t="n">
        <f aca="false">C17/Assumptions!$B$13</f>
        <v>117.676886623468</v>
      </c>
      <c r="D18" s="36" t="n">
        <f aca="false">D17/Assumptions!$B$13</f>
        <v>127.55248046832</v>
      </c>
      <c r="E18" s="36" t="n">
        <f aca="false">E17/Assumptions!$B$13</f>
        <v>153.723775489579</v>
      </c>
      <c r="F18" s="36" t="n">
        <f aca="false">F17/Assumptions!$B$13</f>
        <v>185.150151365832</v>
      </c>
      <c r="G18" s="36" t="n">
        <f aca="false">G17/Assumptions!$B$13</f>
        <v>218.135953547639</v>
      </c>
    </row>
    <row r="19" customFormat="false" ht="15" hidden="false" customHeight="false" outlineLevel="0" collapsed="false">
      <c r="A19" s="5" t="s">
        <v>153</v>
      </c>
      <c r="B19" s="12" t="n">
        <v>28291</v>
      </c>
      <c r="C19" s="35" t="n">
        <f aca="false">C17*Assumptions!$B$12</f>
        <v>30543.6619641579</v>
      </c>
      <c r="D19" s="35" t="n">
        <f aca="false">D17*Assumptions!$B$12</f>
        <v>33106.9248847486</v>
      </c>
      <c r="E19" s="35" t="n">
        <f aca="false">E17*Assumptions!$B$12</f>
        <v>39899.8237388059</v>
      </c>
      <c r="F19" s="35" t="n">
        <f aca="false">F17*Assumptions!$B$12</f>
        <v>48056.706785807</v>
      </c>
      <c r="G19" s="35" t="n">
        <f aca="false">G17*Assumptions!$B$12</f>
        <v>56618.3472265626</v>
      </c>
    </row>
    <row r="20" customFormat="false" ht="15" hidden="false" customHeight="false" outlineLevel="0" collapsed="false">
      <c r="A20" s="1" t="s">
        <v>56</v>
      </c>
      <c r="B20" s="19" t="n">
        <v>51353</v>
      </c>
      <c r="C20" s="15" t="n">
        <f aca="false">B20*(1+Assumptions!$B$42)</f>
        <v>54177.415</v>
      </c>
      <c r="D20" s="15" t="n">
        <f aca="false">C20*(1+Assumptions!$B$42)</f>
        <v>57157.172825</v>
      </c>
      <c r="E20" s="15" t="n">
        <f aca="false">D20*(1+Assumptions!$B$42)</f>
        <v>60300.817330375</v>
      </c>
      <c r="F20" s="15" t="n">
        <f aca="false">E20*(1+Assumptions!$B$42)</f>
        <v>63617.3622835456</v>
      </c>
      <c r="G20" s="15" t="n">
        <f aca="false">F20*(1+Assumptions!$B$42)</f>
        <v>67116.3172091406</v>
      </c>
    </row>
    <row r="21" customFormat="false" ht="15" hidden="false" customHeight="false" outlineLevel="0" collapsed="false">
      <c r="A21" s="1" t="s">
        <v>52</v>
      </c>
      <c r="B21" s="12" t="n">
        <v>584519</v>
      </c>
      <c r="C21" s="34" t="n">
        <f aca="false">C6*1000000/C20</f>
        <v>605185.555604674</v>
      </c>
      <c r="D21" s="34" t="n">
        <f aca="false">D6*1000000/D20</f>
        <v>626229.614152404</v>
      </c>
      <c r="E21" s="34" t="n">
        <f aca="false">E6*1000000/E20</f>
        <v>649070.350051144</v>
      </c>
      <c r="F21" s="34" t="n">
        <f aca="false">F6*1000000/F20</f>
        <v>671163.506109606</v>
      </c>
      <c r="G21" s="34" t="n">
        <f aca="false">G6*1000000/G20</f>
        <v>694058.217010033</v>
      </c>
    </row>
    <row r="22" customFormat="false" ht="15" hidden="false" customHeight="false" outlineLevel="0" collapsed="false">
      <c r="A22" s="1" t="s">
        <v>154</v>
      </c>
      <c r="B22" s="1"/>
      <c r="C22" s="34" t="n">
        <f aca="false">C21-$B$21</f>
        <v>20666.5556046742</v>
      </c>
      <c r="D22" s="34" t="n">
        <f aca="false">D21-$B$21</f>
        <v>41710.614152404</v>
      </c>
      <c r="E22" s="34" t="n">
        <f aca="false">E21-$B$21</f>
        <v>64551.350051144</v>
      </c>
      <c r="F22" s="34" t="n">
        <f aca="false">F21-$B$21</f>
        <v>86644.5061096062</v>
      </c>
      <c r="G22" s="34" t="n">
        <f aca="false">G21-$B$21</f>
        <v>109539.217010033</v>
      </c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</row>
    <row r="24" customFormat="false" ht="15" hidden="false" customHeight="false" outlineLevel="0" collapsed="false">
      <c r="A24" s="5" t="s">
        <v>139</v>
      </c>
      <c r="B24" s="1"/>
      <c r="C24" s="26" t="n">
        <f aca="false">(G6/B6)^(1/5)-1</f>
        <v>0.0918710384054853</v>
      </c>
      <c r="D24" s="1"/>
      <c r="E24" s="1"/>
      <c r="F24" s="1"/>
      <c r="G24" s="1"/>
    </row>
    <row r="25" customFormat="false" ht="15" hidden="false" customHeight="false" outlineLevel="0" collapsed="false">
      <c r="A25" s="5" t="s">
        <v>155</v>
      </c>
      <c r="B25" s="1"/>
      <c r="C25" s="35" t="n">
        <f aca="false">SUM(C19:G19)</f>
        <v>208225.464600082</v>
      </c>
      <c r="D25" s="1"/>
      <c r="E25" s="1"/>
      <c r="F25" s="1"/>
      <c r="G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</row>
    <row r="28" customFormat="false" ht="15" hidden="false" customHeight="false" outlineLevel="0" collapsed="false">
      <c r="A28" s="18" t="s">
        <v>140</v>
      </c>
      <c r="B28" s="18"/>
      <c r="C28" s="18"/>
      <c r="D28" s="18"/>
      <c r="E28" s="18"/>
      <c r="F28" s="18"/>
      <c r="G28" s="18"/>
    </row>
    <row r="29" customFormat="false" ht="15" hidden="false" customHeight="false" outlineLevel="0" collapsed="false">
      <c r="A29" s="33"/>
      <c r="B29" s="30" t="s">
        <v>145</v>
      </c>
      <c r="C29" s="30" t="s">
        <v>109</v>
      </c>
      <c r="D29" s="30" t="s">
        <v>110</v>
      </c>
      <c r="E29" s="30" t="s">
        <v>111</v>
      </c>
      <c r="F29" s="30" t="s">
        <v>112</v>
      </c>
      <c r="G29" s="30" t="s">
        <v>113</v>
      </c>
    </row>
    <row r="30" customFormat="false" ht="15" hidden="false" customHeight="false" outlineLevel="0" collapsed="false">
      <c r="A30" s="5" t="s">
        <v>43</v>
      </c>
      <c r="B30" s="10" t="n">
        <v>30017</v>
      </c>
      <c r="C30" s="27" t="n">
        <f aca="false">'Revenue Build'!C27</f>
        <v>31149.391325</v>
      </c>
      <c r="D30" s="27" t="n">
        <f aca="false">'Revenue Build'!D27</f>
        <v>32299.3324846741</v>
      </c>
      <c r="E30" s="27" t="n">
        <f aca="false">'Revenue Build'!E27</f>
        <v>33451.3629826629</v>
      </c>
      <c r="F30" s="27" t="n">
        <f aca="false">'Revenue Build'!F27</f>
        <v>34746.0293859667</v>
      </c>
      <c r="G30" s="27" t="n">
        <f aca="false">'Revenue Build'!G27</f>
        <v>36023.6570468471</v>
      </c>
    </row>
    <row r="31" customFormat="false" ht="15" hidden="false" customHeight="false" outlineLevel="0" collapsed="false">
      <c r="A31" s="1" t="s">
        <v>146</v>
      </c>
      <c r="B31" s="1"/>
      <c r="C31" s="17" t="n">
        <f aca="false">C30/B30-1</f>
        <v>0.037725</v>
      </c>
      <c r="D31" s="17" t="n">
        <f aca="false">D30/C30-1</f>
        <v>0.0369169704690548</v>
      </c>
      <c r="E31" s="17" t="n">
        <f aca="false">E30/D30-1</f>
        <v>0.0356673159897485</v>
      </c>
      <c r="F31" s="17" t="n">
        <f aca="false">F30/E30-1</f>
        <v>0.0387029492333328</v>
      </c>
      <c r="G31" s="17" t="n">
        <f aca="false">G30/F30-1</f>
        <v>0.0367704650994287</v>
      </c>
    </row>
    <row r="32" customFormat="false" ht="15" hidden="false" customHeight="false" outlineLevel="0" collapsed="false">
      <c r="A32" s="1" t="s">
        <v>46</v>
      </c>
      <c r="B32" s="11" t="n">
        <v>0.25</v>
      </c>
      <c r="C32" s="17" t="n">
        <f aca="false">Assumptions!B56</f>
        <v>0.243</v>
      </c>
      <c r="D32" s="17" t="n">
        <f aca="false">Assumptions!C56</f>
        <v>0.246</v>
      </c>
      <c r="E32" s="17" t="n">
        <f aca="false">Assumptions!D56</f>
        <v>0.25</v>
      </c>
      <c r="F32" s="17" t="n">
        <f aca="false">Assumptions!E56</f>
        <v>0.252</v>
      </c>
      <c r="G32" s="17" t="n">
        <f aca="false">Assumptions!F56</f>
        <v>0.255</v>
      </c>
    </row>
    <row r="33" customFormat="false" ht="15" hidden="false" customHeight="false" outlineLevel="0" collapsed="false">
      <c r="A33" s="1" t="s">
        <v>147</v>
      </c>
      <c r="B33" s="24" t="n">
        <f aca="false">B30*B32</f>
        <v>7504.25</v>
      </c>
      <c r="C33" s="24" t="n">
        <f aca="false">C30*C32</f>
        <v>7569.302091975</v>
      </c>
      <c r="D33" s="24" t="n">
        <f aca="false">D30*D32</f>
        <v>7945.63579122982</v>
      </c>
      <c r="E33" s="24" t="n">
        <f aca="false">E30*E32</f>
        <v>8362.84074566572</v>
      </c>
      <c r="F33" s="24" t="n">
        <f aca="false">F30*F32</f>
        <v>8755.9994052636</v>
      </c>
      <c r="G33" s="24" t="n">
        <f aca="false">G30*G32</f>
        <v>9186.03254694601</v>
      </c>
    </row>
    <row r="34" customFormat="false" ht="15" hidden="false" customHeight="false" outlineLevel="0" collapsed="false">
      <c r="A34" s="1" t="s">
        <v>148</v>
      </c>
      <c r="B34" s="1"/>
      <c r="C34" s="24" t="n">
        <f aca="false">C30*(C32+Assumptions!$B$10)</f>
        <v>8067.692353175</v>
      </c>
      <c r="D34" s="24" t="n">
        <f aca="false">D30*(D32+Assumptions!$B$10)</f>
        <v>8462.42511098461</v>
      </c>
      <c r="E34" s="24" t="n">
        <f aca="false">E30*(E32+Assumptions!$B$10)</f>
        <v>8898.06255338833</v>
      </c>
      <c r="F34" s="24" t="n">
        <f aca="false">F30*(F32+Assumptions!$B$10)</f>
        <v>9311.93587543907</v>
      </c>
      <c r="G34" s="24" t="n">
        <f aca="false">G30*(G32+Assumptions!$B$10)</f>
        <v>9762.41105969556</v>
      </c>
    </row>
    <row r="35" customFormat="false" ht="15" hidden="false" customHeight="false" outlineLevel="0" collapsed="false">
      <c r="A35" s="5" t="s">
        <v>48</v>
      </c>
      <c r="B35" s="10" t="n">
        <v>5938</v>
      </c>
      <c r="C35" s="27" t="n">
        <f aca="false">C34*(1-Assumptions!$B$11)</f>
        <v>6010.43080311538</v>
      </c>
      <c r="D35" s="27" t="n">
        <f aca="false">D34*(1-Assumptions!$B$11)</f>
        <v>6304.50670768353</v>
      </c>
      <c r="E35" s="27" t="n">
        <f aca="false">E34*(1-Assumptions!$B$11)</f>
        <v>6629.0566022743</v>
      </c>
      <c r="F35" s="27" t="n">
        <f aca="false">F34*(1-Assumptions!$B$11)</f>
        <v>6937.39222720211</v>
      </c>
      <c r="G35" s="27" t="n">
        <f aca="false">G34*(1-Assumptions!$B$11)</f>
        <v>7272.99623947319</v>
      </c>
    </row>
    <row r="36" customFormat="false" ht="15" hidden="false" customHeight="false" outlineLevel="0" collapsed="false">
      <c r="A36" s="1" t="s">
        <v>149</v>
      </c>
      <c r="B36" s="11" t="n">
        <v>0.198</v>
      </c>
      <c r="C36" s="17" t="n">
        <f aca="false">C35/C30</f>
        <v>0.192955</v>
      </c>
      <c r="D36" s="17" t="n">
        <f aca="false">D35/D30</f>
        <v>0.19519</v>
      </c>
      <c r="E36" s="17" t="n">
        <f aca="false">E35/E30</f>
        <v>0.19817</v>
      </c>
      <c r="F36" s="17" t="n">
        <f aca="false">F35/F30</f>
        <v>0.19966</v>
      </c>
      <c r="G36" s="17" t="n">
        <f aca="false">G35/G30</f>
        <v>0.201895</v>
      </c>
    </row>
    <row r="37" customFormat="false" ht="15" hidden="false" customHeight="false" outlineLevel="0" collapsed="false">
      <c r="A37" s="1" t="s">
        <v>150</v>
      </c>
      <c r="B37" s="20" t="n">
        <v>88.9565912649499</v>
      </c>
      <c r="C37" s="16" t="n">
        <f aca="false">B37*(1+Assumptions!$B$9)</f>
        <v>90.7357230902489</v>
      </c>
      <c r="D37" s="16" t="n">
        <f aca="false">C37*(1+Assumptions!$B$9)</f>
        <v>92.5504375520539</v>
      </c>
      <c r="E37" s="16" t="n">
        <f aca="false">D37*(1+Assumptions!$B$9)</f>
        <v>94.4014463030949</v>
      </c>
      <c r="F37" s="16" t="n">
        <f aca="false">E37*(1+Assumptions!$B$9)</f>
        <v>96.2894752291568</v>
      </c>
      <c r="G37" s="16" t="n">
        <f aca="false">F37*(1+Assumptions!$B$9)</f>
        <v>98.21526473374</v>
      </c>
    </row>
    <row r="38" customFormat="false" ht="15" hidden="false" customHeight="false" outlineLevel="0" collapsed="false">
      <c r="A38" s="1" t="s">
        <v>49</v>
      </c>
      <c r="B38" s="12" t="n">
        <v>267021</v>
      </c>
      <c r="C38" s="34" t="n">
        <f aca="false">C30*C37/10</f>
        <v>282636.2545695</v>
      </c>
      <c r="D38" s="34" t="n">
        <f aca="false">D30*D37/10</f>
        <v>298931.735409585</v>
      </c>
      <c r="E38" s="34" t="n">
        <f aca="false">E30*E37/10</f>
        <v>315785.704637319</v>
      </c>
      <c r="F38" s="34" t="n">
        <f aca="false">F30*F37/10</f>
        <v>334567.693587159</v>
      </c>
      <c r="G38" s="34" t="n">
        <f aca="false">G30*G37/10</f>
        <v>353807.301353354</v>
      </c>
    </row>
    <row r="39" customFormat="false" ht="15" hidden="false" customHeight="false" outlineLevel="0" collapsed="false">
      <c r="A39" s="1" t="s">
        <v>50</v>
      </c>
      <c r="B39" s="12" t="n">
        <v>49454</v>
      </c>
      <c r="C39" s="34" t="n">
        <f aca="false">C35*C37/10</f>
        <v>54536.0785004579</v>
      </c>
      <c r="D39" s="34" t="n">
        <f aca="false">D35*D37/10</f>
        <v>58348.4854345969</v>
      </c>
      <c r="E39" s="34" t="n">
        <f aca="false">E35*E37/10</f>
        <v>62579.2530879775</v>
      </c>
      <c r="F39" s="34" t="n">
        <f aca="false">F35*F37/10</f>
        <v>66799.7857016122</v>
      </c>
      <c r="G39" s="34" t="n">
        <f aca="false">G35*G37/10</f>
        <v>71431.9251067355</v>
      </c>
    </row>
    <row r="40" customFormat="false" ht="15" hidden="false" customHeight="false" outlineLevel="0" collapsed="false">
      <c r="A40" s="1" t="s">
        <v>151</v>
      </c>
      <c r="B40" s="12" t="n">
        <v>42983</v>
      </c>
      <c r="C40" s="34" t="n">
        <f aca="false">C39*Assumptions!B57</f>
        <v>43628.8628003663</v>
      </c>
      <c r="D40" s="34" t="n">
        <f aca="false">D39*Assumptions!C57</f>
        <v>44344.8489302937</v>
      </c>
      <c r="E40" s="34" t="n">
        <f aca="false">E39*Assumptions!D57</f>
        <v>48811.8174086224</v>
      </c>
      <c r="F40" s="34" t="n">
        <f aca="false">F39*Assumptions!E57</f>
        <v>54775.824275322</v>
      </c>
      <c r="G40" s="34" t="n">
        <f aca="false">G39*Assumptions!F57</f>
        <v>60717.1363407252</v>
      </c>
    </row>
    <row r="41" customFormat="false" ht="15" hidden="false" customHeight="false" outlineLevel="0" collapsed="false">
      <c r="A41" s="5" t="s">
        <v>152</v>
      </c>
      <c r="B41" s="12" t="n">
        <v>39571</v>
      </c>
      <c r="C41" s="35" t="n">
        <f aca="false">C40*Assumptions!B58</f>
        <v>40574.8424043407</v>
      </c>
      <c r="D41" s="35" t="n">
        <f aca="false">D40*Assumptions!C58</f>
        <v>41240.7095051731</v>
      </c>
      <c r="E41" s="35" t="n">
        <f aca="false">E40*Assumptions!D58</f>
        <v>44906.8720159326</v>
      </c>
      <c r="F41" s="35" t="n">
        <f aca="false">F40*Assumptions!E58</f>
        <v>50393.7583332963</v>
      </c>
      <c r="G41" s="35" t="n">
        <f aca="false">G40*Assumptions!F58</f>
        <v>55859.7654334671</v>
      </c>
    </row>
    <row r="42" customFormat="false" ht="15" hidden="false" customHeight="false" outlineLevel="0" collapsed="false">
      <c r="A42" s="1" t="s">
        <v>53</v>
      </c>
      <c r="B42" s="14" t="n">
        <v>110</v>
      </c>
      <c r="C42" s="36" t="n">
        <f aca="false">C41/Assumptions!$B$13</f>
        <v>112.147159768769</v>
      </c>
      <c r="D42" s="36" t="n">
        <f aca="false">D41/Assumptions!$B$13</f>
        <v>113.987588460954</v>
      </c>
      <c r="E42" s="36" t="n">
        <f aca="false">E41/Assumptions!$B$13</f>
        <v>124.120707617282</v>
      </c>
      <c r="F42" s="36" t="n">
        <f aca="false">F41/Assumptions!$B$13</f>
        <v>139.286230882522</v>
      </c>
      <c r="G42" s="36" t="n">
        <f aca="false">G41/Assumptions!$B$13</f>
        <v>154.394044868621</v>
      </c>
    </row>
    <row r="43" customFormat="false" ht="15" hidden="false" customHeight="false" outlineLevel="0" collapsed="false">
      <c r="A43" s="5" t="s">
        <v>153</v>
      </c>
      <c r="B43" s="12" t="n">
        <v>28291</v>
      </c>
      <c r="C43" s="35" t="n">
        <f aca="false">C41*Assumptions!$B$12</f>
        <v>29108.391940874</v>
      </c>
      <c r="D43" s="35" t="n">
        <f aca="false">D41*Assumptions!$B$12</f>
        <v>29586.0849990112</v>
      </c>
      <c r="E43" s="35" t="n">
        <f aca="false">E41*Assumptions!$B$12</f>
        <v>32216.1899842301</v>
      </c>
      <c r="F43" s="35" t="n">
        <f aca="false">F41*Assumptions!$B$12</f>
        <v>36152.4822283068</v>
      </c>
      <c r="G43" s="35" t="n">
        <f aca="false">G41*Assumptions!$B$12</f>
        <v>40073.7957219693</v>
      </c>
    </row>
    <row r="44" customFormat="false" ht="15" hidden="false" customHeight="false" outlineLevel="0" collapsed="false">
      <c r="A44" s="1" t="s">
        <v>56</v>
      </c>
      <c r="B44" s="19" t="n">
        <v>51353</v>
      </c>
      <c r="C44" s="15" t="n">
        <f aca="false">B44*(1+Assumptions!$B$59)</f>
        <v>53407.12</v>
      </c>
      <c r="D44" s="15" t="n">
        <f aca="false">C44*(1+Assumptions!$B$59)</f>
        <v>55543.4048</v>
      </c>
      <c r="E44" s="15" t="n">
        <f aca="false">D44*(1+Assumptions!$B$59)</f>
        <v>57765.140992</v>
      </c>
      <c r="F44" s="15" t="n">
        <f aca="false">E44*(1+Assumptions!$B$59)</f>
        <v>60075.74663168</v>
      </c>
      <c r="G44" s="15" t="n">
        <f aca="false">F44*(1+Assumptions!$B$59)</f>
        <v>62478.7764969472</v>
      </c>
    </row>
    <row r="45" customFormat="false" ht="15" hidden="false" customHeight="false" outlineLevel="0" collapsed="false">
      <c r="A45" s="1" t="s">
        <v>52</v>
      </c>
      <c r="B45" s="12" t="n">
        <v>584519</v>
      </c>
      <c r="C45" s="34" t="n">
        <f aca="false">C30*1000000/C44</f>
        <v>583244.169035889</v>
      </c>
      <c r="D45" s="34" t="n">
        <f aca="false">D30*1000000/D44</f>
        <v>581515.170000418</v>
      </c>
      <c r="E45" s="34" t="n">
        <f aca="false">E30*1000000/E44</f>
        <v>579092.5531939</v>
      </c>
      <c r="F45" s="34" t="n">
        <f aca="false">F30*1000000/F44</f>
        <v>578370.329693812</v>
      </c>
      <c r="G45" s="34" t="n">
        <f aca="false">G30*1000000/G44</f>
        <v>576574.303573426</v>
      </c>
    </row>
    <row r="46" customFormat="false" ht="15" hidden="false" customHeight="false" outlineLevel="0" collapsed="false">
      <c r="A46" s="1" t="s">
        <v>154</v>
      </c>
      <c r="B46" s="1"/>
      <c r="C46" s="34" t="n">
        <f aca="false">C45-$B$45</f>
        <v>-1274.83096411114</v>
      </c>
      <c r="D46" s="34" t="n">
        <f aca="false">D45-$B$45</f>
        <v>-3003.82999958156</v>
      </c>
      <c r="E46" s="34" t="n">
        <f aca="false">E45-$B$45</f>
        <v>-5426.4468061002</v>
      </c>
      <c r="F46" s="34" t="n">
        <f aca="false">F45-$B$45</f>
        <v>-6148.67030618829</v>
      </c>
      <c r="G46" s="34" t="n">
        <f aca="false">G45-$B$45</f>
        <v>-7944.69642657391</v>
      </c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5" t="s">
        <v>139</v>
      </c>
      <c r="B48" s="1"/>
      <c r="C48" s="26" t="n">
        <f aca="false">(G30/B30)^(1/5)-1</f>
        <v>0.0371560447228521</v>
      </c>
      <c r="D48" s="1"/>
      <c r="E48" s="1"/>
      <c r="F48" s="1"/>
      <c r="G48" s="1"/>
    </row>
    <row r="49" customFormat="false" ht="15" hidden="false" customHeight="false" outlineLevel="0" collapsed="false">
      <c r="A49" s="5" t="s">
        <v>155</v>
      </c>
      <c r="B49" s="1"/>
      <c r="C49" s="35" t="n">
        <f aca="false">SUM(C43:G43)</f>
        <v>167136.944874391</v>
      </c>
      <c r="D49" s="1"/>
      <c r="E49" s="1"/>
      <c r="F49" s="1"/>
      <c r="G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</row>
    <row r="52" customFormat="false" ht="15" hidden="false" customHeight="false" outlineLevel="0" collapsed="false">
      <c r="A52" s="18" t="s">
        <v>141</v>
      </c>
      <c r="B52" s="18"/>
      <c r="C52" s="18"/>
      <c r="D52" s="18"/>
      <c r="E52" s="18"/>
      <c r="F52" s="18"/>
      <c r="G52" s="18"/>
    </row>
    <row r="53" customFormat="false" ht="15" hidden="false" customHeight="false" outlineLevel="0" collapsed="false">
      <c r="A53" s="33"/>
      <c r="B53" s="30" t="s">
        <v>145</v>
      </c>
      <c r="C53" s="30" t="s">
        <v>109</v>
      </c>
      <c r="D53" s="30" t="s">
        <v>110</v>
      </c>
      <c r="E53" s="30" t="s">
        <v>111</v>
      </c>
      <c r="F53" s="30" t="s">
        <v>112</v>
      </c>
      <c r="G53" s="30" t="s">
        <v>113</v>
      </c>
    </row>
    <row r="54" customFormat="false" ht="15" hidden="false" customHeight="false" outlineLevel="0" collapsed="false">
      <c r="A54" s="5" t="s">
        <v>43</v>
      </c>
      <c r="B54" s="10" t="n">
        <v>30017</v>
      </c>
      <c r="C54" s="27" t="n">
        <f aca="false">'Revenue Build'!C41</f>
        <v>29471.7471984</v>
      </c>
      <c r="D54" s="27" t="n">
        <f aca="false">'Revenue Build'!D41</f>
        <v>28500.1303439761</v>
      </c>
      <c r="E54" s="27" t="n">
        <f aca="false">'Revenue Build'!E41</f>
        <v>27361.399760618</v>
      </c>
      <c r="F54" s="27" t="n">
        <f aca="false">'Revenue Build'!F41</f>
        <v>26472.0054036507</v>
      </c>
      <c r="G54" s="27" t="n">
        <f aca="false">'Revenue Build'!G41</f>
        <v>25794.8750768253</v>
      </c>
    </row>
    <row r="55" customFormat="false" ht="15" hidden="false" customHeight="false" outlineLevel="0" collapsed="false">
      <c r="A55" s="1" t="s">
        <v>146</v>
      </c>
      <c r="B55" s="1"/>
      <c r="C55" s="17" t="n">
        <f aca="false">C54/B54-1</f>
        <v>-0.0181647999999999</v>
      </c>
      <c r="D55" s="17" t="n">
        <f aca="false">D54/C54-1</f>
        <v>-0.0329677384880884</v>
      </c>
      <c r="E55" s="17" t="n">
        <f aca="false">E54/D54-1</f>
        <v>-0.0399552763308257</v>
      </c>
      <c r="F55" s="17" t="n">
        <f aca="false">F54/E54-1</f>
        <v>-0.0325054406846337</v>
      </c>
      <c r="G55" s="17" t="n">
        <f aca="false">G54/F54-1</f>
        <v>-0.025579109572559</v>
      </c>
    </row>
    <row r="56" customFormat="false" ht="15" hidden="false" customHeight="false" outlineLevel="0" collapsed="false">
      <c r="A56" s="1" t="s">
        <v>46</v>
      </c>
      <c r="B56" s="11" t="n">
        <v>0.25</v>
      </c>
      <c r="C56" s="17" t="n">
        <f aca="false">Assumptions!B73</f>
        <v>0.24</v>
      </c>
      <c r="D56" s="17" t="n">
        <f aca="false">Assumptions!C73</f>
        <v>0.234</v>
      </c>
      <c r="E56" s="17" t="n">
        <f aca="false">Assumptions!D73</f>
        <v>0.228</v>
      </c>
      <c r="F56" s="17" t="n">
        <f aca="false">Assumptions!E73</f>
        <v>0.224</v>
      </c>
      <c r="G56" s="17" t="n">
        <f aca="false">Assumptions!F73</f>
        <v>0.22</v>
      </c>
    </row>
    <row r="57" customFormat="false" ht="15" hidden="false" customHeight="false" outlineLevel="0" collapsed="false">
      <c r="A57" s="1" t="s">
        <v>147</v>
      </c>
      <c r="B57" s="24" t="n">
        <f aca="false">B54*B56</f>
        <v>7504.25</v>
      </c>
      <c r="C57" s="24" t="n">
        <f aca="false">C54*C56</f>
        <v>7073.219327616</v>
      </c>
      <c r="D57" s="24" t="n">
        <f aca="false">D54*D56</f>
        <v>6669.03050049041</v>
      </c>
      <c r="E57" s="24" t="n">
        <f aca="false">E54*E56</f>
        <v>6238.3991454209</v>
      </c>
      <c r="F57" s="24" t="n">
        <f aca="false">F54*F56</f>
        <v>5929.72921041775</v>
      </c>
      <c r="G57" s="24" t="n">
        <f aca="false">G54*G56</f>
        <v>5674.87251690157</v>
      </c>
    </row>
    <row r="58" customFormat="false" ht="15" hidden="false" customHeight="false" outlineLevel="0" collapsed="false">
      <c r="A58" s="1" t="s">
        <v>148</v>
      </c>
      <c r="B58" s="1"/>
      <c r="C58" s="24" t="n">
        <f aca="false">C54*(C56+Assumptions!$B$10)</f>
        <v>7544.7672827904</v>
      </c>
      <c r="D58" s="24" t="n">
        <f aca="false">D54*(D56+Assumptions!$B$10)</f>
        <v>7125.03258599403</v>
      </c>
      <c r="E58" s="24" t="n">
        <f aca="false">E54*(E56+Assumptions!$B$10)</f>
        <v>6676.18154159079</v>
      </c>
      <c r="F58" s="24" t="n">
        <f aca="false">F54*(F56+Assumptions!$B$10)</f>
        <v>6353.28129687616</v>
      </c>
      <c r="G58" s="24" t="n">
        <f aca="false">G54*(G56+Assumptions!$B$10)</f>
        <v>6087.59051813077</v>
      </c>
    </row>
    <row r="59" customFormat="false" ht="15" hidden="false" customHeight="false" outlineLevel="0" collapsed="false">
      <c r="A59" s="5" t="s">
        <v>48</v>
      </c>
      <c r="B59" s="10" t="n">
        <v>5938</v>
      </c>
      <c r="C59" s="27" t="n">
        <f aca="false">C58*(1-Assumptions!$B$11)</f>
        <v>5620.85162567885</v>
      </c>
      <c r="D59" s="27" t="n">
        <f aca="false">D58*(1-Assumptions!$B$11)</f>
        <v>5308.14927656555</v>
      </c>
      <c r="E59" s="27" t="n">
        <f aca="false">E58*(1-Assumptions!$B$11)</f>
        <v>4973.75524848514</v>
      </c>
      <c r="F59" s="27" t="n">
        <f aca="false">F58*(1-Assumptions!$B$11)</f>
        <v>4733.19456617274</v>
      </c>
      <c r="G59" s="27" t="n">
        <f aca="false">G58*(1-Assumptions!$B$11)</f>
        <v>4535.25493600743</v>
      </c>
    </row>
    <row r="60" customFormat="false" ht="15" hidden="false" customHeight="false" outlineLevel="0" collapsed="false">
      <c r="A60" s="1" t="s">
        <v>149</v>
      </c>
      <c r="B60" s="11" t="n">
        <v>0.198</v>
      </c>
      <c r="C60" s="17" t="n">
        <f aca="false">C59/C54</f>
        <v>0.19072</v>
      </c>
      <c r="D60" s="17" t="n">
        <f aca="false">D59/D54</f>
        <v>0.18625</v>
      </c>
      <c r="E60" s="17" t="n">
        <f aca="false">E59/E54</f>
        <v>0.18178</v>
      </c>
      <c r="F60" s="17" t="n">
        <f aca="false">F59/F54</f>
        <v>0.1788</v>
      </c>
      <c r="G60" s="17" t="n">
        <f aca="false">G59/G54</f>
        <v>0.17582</v>
      </c>
    </row>
    <row r="61" customFormat="false" ht="15" hidden="false" customHeight="false" outlineLevel="0" collapsed="false">
      <c r="A61" s="1" t="s">
        <v>150</v>
      </c>
      <c r="B61" s="20" t="n">
        <v>88.9565912649499</v>
      </c>
      <c r="C61" s="16" t="n">
        <f aca="false">B61*(1+Assumptions!$B$9)</f>
        <v>90.7357230902489</v>
      </c>
      <c r="D61" s="16" t="n">
        <f aca="false">C61*(1+Assumptions!$B$9)</f>
        <v>92.5504375520539</v>
      </c>
      <c r="E61" s="16" t="n">
        <f aca="false">D61*(1+Assumptions!$B$9)</f>
        <v>94.4014463030949</v>
      </c>
      <c r="F61" s="16" t="n">
        <f aca="false">E61*(1+Assumptions!$B$9)</f>
        <v>96.2894752291568</v>
      </c>
      <c r="G61" s="16" t="n">
        <f aca="false">F61*(1+Assumptions!$B$9)</f>
        <v>98.21526473374</v>
      </c>
    </row>
    <row r="62" customFormat="false" ht="15" hidden="false" customHeight="false" outlineLevel="0" collapsed="false">
      <c r="A62" s="1" t="s">
        <v>49</v>
      </c>
      <c r="B62" s="12" t="n">
        <v>267021</v>
      </c>
      <c r="C62" s="34" t="n">
        <f aca="false">C54*C61/10</f>
        <v>267414.029277984</v>
      </c>
      <c r="D62" s="34" t="n">
        <f aca="false">D54*D61/10</f>
        <v>263769.953362556</v>
      </c>
      <c r="E62" s="34" t="n">
        <f aca="false">E54*E61/10</f>
        <v>258295.571027949</v>
      </c>
      <c r="F62" s="34" t="n">
        <f aca="false">F54*F61/10</f>
        <v>254897.550858093</v>
      </c>
      <c r="G62" s="34" t="n">
        <f aca="false">G54*G61/10</f>
        <v>253345.048444415</v>
      </c>
    </row>
    <row r="63" customFormat="false" ht="15" hidden="false" customHeight="false" outlineLevel="0" collapsed="false">
      <c r="A63" s="1" t="s">
        <v>50</v>
      </c>
      <c r="B63" s="12" t="n">
        <v>49454</v>
      </c>
      <c r="C63" s="34" t="n">
        <f aca="false">C59*C61/10</f>
        <v>51001.2036638971</v>
      </c>
      <c r="D63" s="34" t="n">
        <f aca="false">D59*D61/10</f>
        <v>49127.153813776</v>
      </c>
      <c r="E63" s="34" t="n">
        <f aca="false">E59*E61/10</f>
        <v>46952.9689014606</v>
      </c>
      <c r="F63" s="34" t="n">
        <f aca="false">F59*F61/10</f>
        <v>45575.682093427</v>
      </c>
      <c r="G63" s="34" t="n">
        <f aca="false">G59*G61/10</f>
        <v>44543.126417497</v>
      </c>
    </row>
    <row r="64" customFormat="false" ht="15" hidden="false" customHeight="false" outlineLevel="0" collapsed="false">
      <c r="A64" s="1" t="s">
        <v>151</v>
      </c>
      <c r="B64" s="12" t="n">
        <v>42983</v>
      </c>
      <c r="C64" s="34" t="n">
        <f aca="false">C63*Assumptions!B74</f>
        <v>39780.9388578398</v>
      </c>
      <c r="D64" s="34" t="n">
        <f aca="false">D63*Assumptions!C74</f>
        <v>35371.5507459187</v>
      </c>
      <c r="E64" s="34" t="n">
        <f aca="false">E63*Assumptions!D74</f>
        <v>34745.1969870809</v>
      </c>
      <c r="F64" s="34" t="n">
        <f aca="false">F63*Assumptions!E74</f>
        <v>35549.032032873</v>
      </c>
      <c r="G64" s="34" t="n">
        <f aca="false">G63*Assumptions!F74</f>
        <v>36525.3636623476</v>
      </c>
    </row>
    <row r="65" customFormat="false" ht="15" hidden="false" customHeight="false" outlineLevel="0" collapsed="false">
      <c r="A65" s="5" t="s">
        <v>152</v>
      </c>
      <c r="B65" s="12" t="n">
        <v>39571</v>
      </c>
      <c r="C65" s="35" t="n">
        <f aca="false">C64*Assumptions!B75</f>
        <v>37791.8919149478</v>
      </c>
      <c r="D65" s="35" t="n">
        <f aca="false">D64*Assumptions!C75</f>
        <v>32895.5421937044</v>
      </c>
      <c r="E65" s="35" t="n">
        <f aca="false">E64*Assumptions!D75</f>
        <v>31618.1292582436</v>
      </c>
      <c r="F65" s="35" t="n">
        <f aca="false">F64*Assumptions!E75</f>
        <v>31994.1288295857</v>
      </c>
      <c r="G65" s="35" t="n">
        <f aca="false">G64*Assumptions!F75</f>
        <v>32872.8272961128</v>
      </c>
    </row>
    <row r="66" customFormat="false" ht="15" hidden="false" customHeight="false" outlineLevel="0" collapsed="false">
      <c r="A66" s="1" t="s">
        <v>53</v>
      </c>
      <c r="B66" s="14" t="n">
        <v>110</v>
      </c>
      <c r="C66" s="36" t="n">
        <f aca="false">C65/Assumptions!$B$13</f>
        <v>104.455201533852</v>
      </c>
      <c r="D66" s="36" t="n">
        <f aca="false">D65/Assumptions!$B$13</f>
        <v>90.9218966105704</v>
      </c>
      <c r="E66" s="36" t="n">
        <f aca="false">E65/Assumptions!$B$13</f>
        <v>87.3911809238352</v>
      </c>
      <c r="F66" s="36" t="n">
        <f aca="false">F65/Assumptions!$B$13</f>
        <v>88.4304279424703</v>
      </c>
      <c r="G66" s="36" t="n">
        <f aca="false">G65/Assumptions!$B$13</f>
        <v>90.8591135879293</v>
      </c>
    </row>
    <row r="67" customFormat="false" ht="15" hidden="false" customHeight="false" outlineLevel="0" collapsed="false">
      <c r="A67" s="5" t="s">
        <v>153</v>
      </c>
      <c r="B67" s="12" t="n">
        <v>28291</v>
      </c>
      <c r="C67" s="35" t="n">
        <f aca="false">C65*Assumptions!$B$12</f>
        <v>27111.9032597835</v>
      </c>
      <c r="D67" s="35" t="n">
        <f aca="false">D65*Assumptions!$B$12</f>
        <v>23599.2619697635</v>
      </c>
      <c r="E67" s="35" t="n">
        <f aca="false">E65*Assumptions!$B$12</f>
        <v>22682.845929864</v>
      </c>
      <c r="F67" s="35" t="n">
        <f aca="false">F65*Assumptions!$B$12</f>
        <v>22952.5880223448</v>
      </c>
      <c r="G67" s="35" t="n">
        <f aca="false">G65*Assumptions!$B$12</f>
        <v>23582.9663022313</v>
      </c>
    </row>
    <row r="68" customFormat="false" ht="15" hidden="false" customHeight="false" outlineLevel="0" collapsed="false">
      <c r="A68" s="1" t="s">
        <v>56</v>
      </c>
      <c r="B68" s="19" t="n">
        <v>51353</v>
      </c>
      <c r="C68" s="15" t="n">
        <f aca="false">B68*(1+Assumptions!$B$76)</f>
        <v>52893.59</v>
      </c>
      <c r="D68" s="15" t="n">
        <f aca="false">C68*(1+Assumptions!$B$76)</f>
        <v>54480.3977</v>
      </c>
      <c r="E68" s="15" t="n">
        <f aca="false">D68*(1+Assumptions!$B$76)</f>
        <v>56114.809631</v>
      </c>
      <c r="F68" s="15" t="n">
        <f aca="false">E68*(1+Assumptions!$B$76)</f>
        <v>57798.25391993</v>
      </c>
      <c r="G68" s="15" t="n">
        <f aca="false">F68*(1+Assumptions!$B$76)</f>
        <v>59532.2015375279</v>
      </c>
    </row>
    <row r="69" customFormat="false" ht="15" hidden="false" customHeight="false" outlineLevel="0" collapsed="false">
      <c r="A69" s="1" t="s">
        <v>52</v>
      </c>
      <c r="B69" s="12" t="n">
        <v>584519</v>
      </c>
      <c r="C69" s="34" t="n">
        <f aca="false">C54*1000000/C68</f>
        <v>557189.390971571</v>
      </c>
      <c r="D69" s="34" t="n">
        <f aca="false">D54*1000000/D68</f>
        <v>523126.327030761</v>
      </c>
      <c r="E69" s="34" t="n">
        <f aca="false">E54*1000000/E68</f>
        <v>487596.767066327</v>
      </c>
      <c r="F69" s="34" t="n">
        <f aca="false">F54*1000000/F68</f>
        <v>458007.009006246</v>
      </c>
      <c r="G69" s="34" t="n">
        <f aca="false">G54*1000000/G68</f>
        <v>433292.813143568</v>
      </c>
    </row>
    <row r="70" customFormat="false" ht="15" hidden="false" customHeight="false" outlineLevel="0" collapsed="false">
      <c r="A70" s="1" t="s">
        <v>154</v>
      </c>
      <c r="B70" s="1"/>
      <c r="C70" s="34" t="n">
        <f aca="false">C69-$B$69</f>
        <v>-27329.6090284286</v>
      </c>
      <c r="D70" s="34" t="n">
        <f aca="false">D69-$B$69</f>
        <v>-61392.6729692394</v>
      </c>
      <c r="E70" s="34" t="n">
        <f aca="false">E69-$B$69</f>
        <v>-96922.2329336732</v>
      </c>
      <c r="F70" s="34" t="n">
        <f aca="false">F69-$B$69</f>
        <v>-126511.990993754</v>
      </c>
      <c r="G70" s="34" t="n">
        <f aca="false">G69-$B$69</f>
        <v>-151226.186856432</v>
      </c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</row>
    <row r="72" customFormat="false" ht="15" hidden="false" customHeight="false" outlineLevel="0" collapsed="false">
      <c r="A72" s="5" t="s">
        <v>139</v>
      </c>
      <c r="B72" s="1"/>
      <c r="C72" s="26" t="n">
        <f aca="false">(G54/B54)^(1/5)-1</f>
        <v>-0.0298626418931529</v>
      </c>
      <c r="D72" s="1"/>
      <c r="E72" s="1"/>
      <c r="F72" s="1"/>
      <c r="G72" s="1"/>
    </row>
    <row r="73" customFormat="false" ht="15" hidden="false" customHeight="false" outlineLevel="0" collapsed="false">
      <c r="A73" s="5" t="s">
        <v>155</v>
      </c>
      <c r="B73" s="1"/>
      <c r="C73" s="35" t="n">
        <f aca="false">SUM(C67:G67)</f>
        <v>119929.565483987</v>
      </c>
      <c r="D73" s="1"/>
      <c r="E73" s="1"/>
      <c r="F73" s="1"/>
      <c r="G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</row>
    <row r="76" customFormat="false" ht="15" hidden="false" customHeight="false" outlineLevel="0" collapsed="false">
      <c r="A76" s="18" t="s">
        <v>142</v>
      </c>
      <c r="B76" s="18"/>
      <c r="C76" s="18"/>
      <c r="D76" s="18"/>
      <c r="E76" s="18"/>
      <c r="F76" s="18"/>
      <c r="G76" s="18"/>
    </row>
    <row r="77" customFormat="false" ht="15" hidden="false" customHeight="false" outlineLevel="0" collapsed="false">
      <c r="A77" s="33"/>
      <c r="B77" s="30" t="s">
        <v>145</v>
      </c>
      <c r="C77" s="30" t="s">
        <v>109</v>
      </c>
      <c r="D77" s="30" t="s">
        <v>110</v>
      </c>
      <c r="E77" s="30" t="s">
        <v>111</v>
      </c>
      <c r="F77" s="30" t="s">
        <v>112</v>
      </c>
      <c r="G77" s="30" t="s">
        <v>113</v>
      </c>
    </row>
    <row r="78" customFormat="false" ht="15" hidden="false" customHeight="false" outlineLevel="0" collapsed="false">
      <c r="A78" s="5" t="s">
        <v>43</v>
      </c>
      <c r="B78" s="10" t="n">
        <v>30017</v>
      </c>
      <c r="C78" s="27" t="n">
        <f aca="false">'Revenue Build'!C55</f>
        <v>28337.458799</v>
      </c>
      <c r="D78" s="27" t="n">
        <f aca="false">'Revenue Build'!D55</f>
        <v>25552.7048037651</v>
      </c>
      <c r="E78" s="27" t="n">
        <f aca="false">'Revenue Build'!E55</f>
        <v>22547.620204524</v>
      </c>
      <c r="F78" s="27" t="n">
        <f aca="false">'Revenue Build'!F55</f>
        <v>20181.8603607179</v>
      </c>
      <c r="G78" s="27" t="n">
        <f aca="false">'Revenue Build'!G55</f>
        <v>18509.3919699514</v>
      </c>
    </row>
    <row r="79" customFormat="false" ht="15" hidden="false" customHeight="false" outlineLevel="0" collapsed="false">
      <c r="A79" s="1" t="s">
        <v>146</v>
      </c>
      <c r="B79" s="1"/>
      <c r="C79" s="17" t="n">
        <f aca="false">C78/B78-1</f>
        <v>-0.055953</v>
      </c>
      <c r="D79" s="17" t="n">
        <f aca="false">D78/C78-1</f>
        <v>-0.0982711263909529</v>
      </c>
      <c r="E79" s="17" t="n">
        <f aca="false">E78/D78-1</f>
        <v>-0.117603385720572</v>
      </c>
      <c r="F79" s="17" t="n">
        <f aca="false">F78/E78-1</f>
        <v>-0.104922817678622</v>
      </c>
      <c r="G79" s="17" t="n">
        <f aca="false">G78/F78-1</f>
        <v>-0.082869882204805</v>
      </c>
    </row>
    <row r="80" customFormat="false" ht="15" hidden="false" customHeight="false" outlineLevel="0" collapsed="false">
      <c r="A80" s="1" t="s">
        <v>46</v>
      </c>
      <c r="B80" s="11" t="n">
        <v>0.25</v>
      </c>
      <c r="C80" s="17" t="n">
        <f aca="false">Assumptions!B90</f>
        <v>0.235</v>
      </c>
      <c r="D80" s="17" t="n">
        <f aca="false">Assumptions!C90</f>
        <v>0.22</v>
      </c>
      <c r="E80" s="17" t="n">
        <f aca="false">Assumptions!D90</f>
        <v>0.202</v>
      </c>
      <c r="F80" s="17" t="n">
        <f aca="false">Assumptions!E90</f>
        <v>0.188</v>
      </c>
      <c r="G80" s="17" t="n">
        <f aca="false">Assumptions!F90</f>
        <v>0.175</v>
      </c>
    </row>
    <row r="81" customFormat="false" ht="15" hidden="false" customHeight="false" outlineLevel="0" collapsed="false">
      <c r="A81" s="1" t="s">
        <v>147</v>
      </c>
      <c r="B81" s="24" t="n">
        <f aca="false">B78*B80</f>
        <v>7504.25</v>
      </c>
      <c r="C81" s="24" t="n">
        <f aca="false">C78*C80</f>
        <v>6659.302817765</v>
      </c>
      <c r="D81" s="24" t="n">
        <f aca="false">D78*D80</f>
        <v>5621.59505682831</v>
      </c>
      <c r="E81" s="24" t="n">
        <f aca="false">E78*E80</f>
        <v>4554.61928131384</v>
      </c>
      <c r="F81" s="24" t="n">
        <f aca="false">F78*F80</f>
        <v>3794.18974781496</v>
      </c>
      <c r="G81" s="24" t="n">
        <f aca="false">G78*G80</f>
        <v>3239.14359474149</v>
      </c>
    </row>
    <row r="82" customFormat="false" ht="15" hidden="false" customHeight="false" outlineLevel="0" collapsed="false">
      <c r="A82" s="1" t="s">
        <v>148</v>
      </c>
      <c r="B82" s="1"/>
      <c r="C82" s="24" t="n">
        <f aca="false">C78*(C80+Assumptions!$B$10)</f>
        <v>7112.702158549</v>
      </c>
      <c r="D82" s="24" t="n">
        <f aca="false">D78*(D80+Assumptions!$B$10)</f>
        <v>6030.43833368855</v>
      </c>
      <c r="E82" s="24" t="n">
        <f aca="false">E78*(E80+Assumptions!$B$10)</f>
        <v>4915.38120458622</v>
      </c>
      <c r="F82" s="24" t="n">
        <f aca="false">F78*(F80+Assumptions!$B$10)</f>
        <v>4117.09951358645</v>
      </c>
      <c r="G82" s="24" t="n">
        <f aca="false">G78*(G80+Assumptions!$B$10)</f>
        <v>3535.29386626071</v>
      </c>
    </row>
    <row r="83" customFormat="false" ht="15" hidden="false" customHeight="false" outlineLevel="0" collapsed="false">
      <c r="A83" s="5" t="s">
        <v>48</v>
      </c>
      <c r="B83" s="10" t="n">
        <v>5938</v>
      </c>
      <c r="C83" s="27" t="n">
        <f aca="false">C82*(1-Assumptions!$B$11)</f>
        <v>5298.96310811901</v>
      </c>
      <c r="D83" s="27" t="n">
        <f aca="false">D82*(1-Assumptions!$B$11)</f>
        <v>4492.67655859797</v>
      </c>
      <c r="E83" s="27" t="n">
        <f aca="false">E82*(1-Assumptions!$B$11)</f>
        <v>3661.95899741674</v>
      </c>
      <c r="F83" s="27" t="n">
        <f aca="false">F82*(1-Assumptions!$B$11)</f>
        <v>3067.2391376219</v>
      </c>
      <c r="G83" s="27" t="n">
        <f aca="false">G82*(1-Assumptions!$B$11)</f>
        <v>2633.79393036423</v>
      </c>
    </row>
    <row r="84" customFormat="false" ht="15" hidden="false" customHeight="false" outlineLevel="0" collapsed="false">
      <c r="A84" s="1" t="s">
        <v>149</v>
      </c>
      <c r="B84" s="11" t="n">
        <v>0.198</v>
      </c>
      <c r="C84" s="17" t="n">
        <f aca="false">C83/C78</f>
        <v>0.186995</v>
      </c>
      <c r="D84" s="17" t="n">
        <f aca="false">D83/D78</f>
        <v>0.17582</v>
      </c>
      <c r="E84" s="17" t="n">
        <f aca="false">E83/E78</f>
        <v>0.16241</v>
      </c>
      <c r="F84" s="17" t="n">
        <f aca="false">F83/F78</f>
        <v>0.15198</v>
      </c>
      <c r="G84" s="17" t="n">
        <f aca="false">G83/G78</f>
        <v>0.142295</v>
      </c>
    </row>
    <row r="85" customFormat="false" ht="15" hidden="false" customHeight="false" outlineLevel="0" collapsed="false">
      <c r="A85" s="1" t="s">
        <v>150</v>
      </c>
      <c r="B85" s="20" t="n">
        <v>88.9565912649499</v>
      </c>
      <c r="C85" s="16" t="n">
        <f aca="false">B85*(1+Assumptions!$B$9)</f>
        <v>90.7357230902489</v>
      </c>
      <c r="D85" s="16" t="n">
        <f aca="false">C85*(1+Assumptions!$B$9)</f>
        <v>92.5504375520539</v>
      </c>
      <c r="E85" s="16" t="n">
        <f aca="false">D85*(1+Assumptions!$B$9)</f>
        <v>94.4014463030949</v>
      </c>
      <c r="F85" s="16" t="n">
        <f aca="false">E85*(1+Assumptions!$B$9)</f>
        <v>96.2894752291568</v>
      </c>
      <c r="G85" s="16" t="n">
        <f aca="false">F85*(1+Assumptions!$B$9)</f>
        <v>98.21526473374</v>
      </c>
    </row>
    <row r="86" customFormat="false" ht="15" hidden="false" customHeight="false" outlineLevel="0" collapsed="false">
      <c r="A86" s="1" t="s">
        <v>49</v>
      </c>
      <c r="B86" s="12" t="n">
        <v>267021</v>
      </c>
      <c r="C86" s="34" t="n">
        <f aca="false">C78*C85/10</f>
        <v>257121.98146674</v>
      </c>
      <c r="D86" s="34" t="n">
        <f aca="false">D78*D85/10</f>
        <v>236491.401022692</v>
      </c>
      <c r="E86" s="34" t="n">
        <f aca="false">E78*E85/10</f>
        <v>212852.795799995</v>
      </c>
      <c r="F86" s="34" t="n">
        <f aca="false">F78*F85/10</f>
        <v>194330.074328165</v>
      </c>
      <c r="G86" s="34" t="n">
        <f aca="false">G78*G85/10</f>
        <v>181790.483238933</v>
      </c>
    </row>
    <row r="87" customFormat="false" ht="15" hidden="false" customHeight="false" outlineLevel="0" collapsed="false">
      <c r="A87" s="1" t="s">
        <v>50</v>
      </c>
      <c r="B87" s="12" t="n">
        <v>49454</v>
      </c>
      <c r="C87" s="34" t="n">
        <f aca="false">C83*C85/10</f>
        <v>48080.5249243731</v>
      </c>
      <c r="D87" s="34" t="n">
        <f aca="false">D83*D85/10</f>
        <v>41579.9181278098</v>
      </c>
      <c r="E87" s="34" t="n">
        <f aca="false">E83*E85/10</f>
        <v>34569.4225658771</v>
      </c>
      <c r="F87" s="34" t="n">
        <f aca="false">F83*F85/10</f>
        <v>29534.2846963944</v>
      </c>
      <c r="G87" s="34" t="n">
        <f aca="false">G83*G85/10</f>
        <v>25867.876812484</v>
      </c>
    </row>
    <row r="88" customFormat="false" ht="15" hidden="false" customHeight="false" outlineLevel="0" collapsed="false">
      <c r="A88" s="1" t="s">
        <v>151</v>
      </c>
      <c r="B88" s="12" t="n">
        <v>42983</v>
      </c>
      <c r="C88" s="34" t="n">
        <f aca="false">C87*Assumptions!B91</f>
        <v>36060.3936932798</v>
      </c>
      <c r="D88" s="34" t="n">
        <f aca="false">D87*Assumptions!C91</f>
        <v>27442.7459643545</v>
      </c>
      <c r="E88" s="34" t="n">
        <f aca="false">E87*Assumptions!D91</f>
        <v>23507.2073447965</v>
      </c>
      <c r="F88" s="34" t="n">
        <f aca="false">F87*Assumptions!E91</f>
        <v>21855.3706753319</v>
      </c>
      <c r="G88" s="34" t="n">
        <f aca="false">G87*Assumptions!F91</f>
        <v>20694.3014499872</v>
      </c>
    </row>
    <row r="89" customFormat="false" ht="15" hidden="false" customHeight="false" outlineLevel="0" collapsed="false">
      <c r="A89" s="5" t="s">
        <v>152</v>
      </c>
      <c r="B89" s="12" t="n">
        <v>39571</v>
      </c>
      <c r="C89" s="35" t="n">
        <f aca="false">C88*Assumptions!B92</f>
        <v>34257.3740086158</v>
      </c>
      <c r="D89" s="35" t="n">
        <f aca="false">D88*Assumptions!C92</f>
        <v>24698.471367919</v>
      </c>
      <c r="E89" s="35" t="n">
        <f aca="false">E88*Assumptions!D92</f>
        <v>19981.126243077</v>
      </c>
      <c r="F89" s="35" t="n">
        <f aca="false">F88*Assumptions!E92</f>
        <v>18577.0650740321</v>
      </c>
      <c r="G89" s="35" t="n">
        <f aca="false">G88*Assumptions!F92</f>
        <v>17590.1562324891</v>
      </c>
    </row>
    <row r="90" customFormat="false" ht="15" hidden="false" customHeight="false" outlineLevel="0" collapsed="false">
      <c r="A90" s="1" t="s">
        <v>53</v>
      </c>
      <c r="B90" s="14" t="n">
        <v>110</v>
      </c>
      <c r="C90" s="36" t="n">
        <f aca="false">C89/Assumptions!$B$13</f>
        <v>94.6859425334876</v>
      </c>
      <c r="D90" s="36" t="n">
        <f aca="false">D89/Assumptions!$B$13</f>
        <v>68.2655372247623</v>
      </c>
      <c r="E90" s="36" t="n">
        <f aca="false">E89/Assumptions!$B$13</f>
        <v>55.2269934855638</v>
      </c>
      <c r="F90" s="36" t="n">
        <f aca="false">F89/Assumptions!$B$13</f>
        <v>51.3462274019682</v>
      </c>
      <c r="G90" s="36" t="n">
        <f aca="false">G89/Assumptions!$B$13</f>
        <v>48.618452826117</v>
      </c>
    </row>
    <row r="91" customFormat="false" ht="15" hidden="false" customHeight="false" outlineLevel="0" collapsed="false">
      <c r="A91" s="5" t="s">
        <v>153</v>
      </c>
      <c r="B91" s="12" t="n">
        <v>28291</v>
      </c>
      <c r="C91" s="35" t="n">
        <f aca="false">C89*Assumptions!$B$12</f>
        <v>24576.240113781</v>
      </c>
      <c r="D91" s="35" t="n">
        <f aca="false">D89*Assumptions!$B$12</f>
        <v>17718.6833593451</v>
      </c>
      <c r="E91" s="35" t="n">
        <f aca="false">E89*Assumptions!$B$12</f>
        <v>14334.4599667834</v>
      </c>
      <c r="F91" s="35" t="n">
        <f aca="false">F89*Assumptions!$B$12</f>
        <v>13327.1864841106</v>
      </c>
      <c r="G91" s="35" t="n">
        <f aca="false">G89*Assumptions!$B$12</f>
        <v>12619.1780811877</v>
      </c>
    </row>
    <row r="92" customFormat="false" ht="15" hidden="false" customHeight="false" outlineLevel="0" collapsed="false">
      <c r="A92" s="1" t="s">
        <v>56</v>
      </c>
      <c r="B92" s="19" t="n">
        <v>51353</v>
      </c>
      <c r="C92" s="15" t="n">
        <f aca="false">B92*(1+Assumptions!$B$93)</f>
        <v>52123.295</v>
      </c>
      <c r="D92" s="15" t="n">
        <f aca="false">C92*(1+Assumptions!$B$93)</f>
        <v>52905.144425</v>
      </c>
      <c r="E92" s="15" t="n">
        <f aca="false">D92*(1+Assumptions!$B$93)</f>
        <v>53698.721591375</v>
      </c>
      <c r="F92" s="15" t="n">
        <f aca="false">E92*(1+Assumptions!$B$93)</f>
        <v>54504.2024152456</v>
      </c>
      <c r="G92" s="15" t="n">
        <f aca="false">F92*(1+Assumptions!$B$93)</f>
        <v>55321.7654514743</v>
      </c>
    </row>
    <row r="93" customFormat="false" ht="15" hidden="false" customHeight="false" outlineLevel="0" collapsed="false">
      <c r="A93" s="1" t="s">
        <v>52</v>
      </c>
      <c r="B93" s="12" t="n">
        <v>584519</v>
      </c>
      <c r="C93" s="34" t="n">
        <f aca="false">C78*1000000/C92</f>
        <v>543662.076601259</v>
      </c>
      <c r="D93" s="34" t="n">
        <f aca="false">D78*1000000/D92</f>
        <v>482990.928037053</v>
      </c>
      <c r="E93" s="34" t="n">
        <f aca="false">E78*1000000/E92</f>
        <v>419891.191751305</v>
      </c>
      <c r="F93" s="34" t="n">
        <f aca="false">F78*1000000/F92</f>
        <v>370280.812605244</v>
      </c>
      <c r="G93" s="34" t="n">
        <f aca="false">G78*1000000/G92</f>
        <v>334577.029834432</v>
      </c>
    </row>
    <row r="94" customFormat="false" ht="15" hidden="false" customHeight="false" outlineLevel="0" collapsed="false">
      <c r="A94" s="1" t="s">
        <v>154</v>
      </c>
      <c r="B94" s="1"/>
      <c r="C94" s="34" t="n">
        <f aca="false">C93-$B$93</f>
        <v>-40856.9233987414</v>
      </c>
      <c r="D94" s="34" t="n">
        <f aca="false">D93-$B$93</f>
        <v>-101528.071962947</v>
      </c>
      <c r="E94" s="34" t="n">
        <f aca="false">E93-$B$93</f>
        <v>-164627.808248695</v>
      </c>
      <c r="F94" s="34" t="n">
        <f aca="false">F93-$B$93</f>
        <v>-214238.187394756</v>
      </c>
      <c r="G94" s="34" t="n">
        <f aca="false">G93-$B$93</f>
        <v>-249941.970165568</v>
      </c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</row>
    <row r="96" customFormat="false" ht="15" hidden="false" customHeight="false" outlineLevel="0" collapsed="false">
      <c r="A96" s="5" t="s">
        <v>139</v>
      </c>
      <c r="B96" s="1"/>
      <c r="C96" s="26" t="n">
        <f aca="false">(G78/B78)^(1/5)-1</f>
        <v>-0.0921690735817436</v>
      </c>
      <c r="D96" s="1"/>
      <c r="E96" s="1"/>
      <c r="F96" s="1"/>
      <c r="G96" s="1"/>
    </row>
    <row r="97" customFormat="false" ht="15" hidden="false" customHeight="false" outlineLevel="0" collapsed="false">
      <c r="A97" s="5" t="s">
        <v>155</v>
      </c>
      <c r="B97" s="1"/>
      <c r="C97" s="35" t="n">
        <f aca="false">SUM(C91:G91)</f>
        <v>82575.7480052078</v>
      </c>
      <c r="D97" s="1"/>
      <c r="E97" s="1"/>
      <c r="F97" s="1"/>
      <c r="G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</row>
    <row r="100" customFormat="false" ht="15" hidden="false" customHeight="false" outlineLevel="0" collapsed="false">
      <c r="A100" s="18" t="s">
        <v>156</v>
      </c>
      <c r="B100" s="18"/>
      <c r="C100" s="18"/>
      <c r="D100" s="18"/>
      <c r="E100" s="18"/>
      <c r="F100" s="18"/>
      <c r="G100" s="18"/>
    </row>
    <row r="101" customFormat="false" ht="15" hidden="false" customHeight="false" outlineLevel="0" collapsed="false">
      <c r="A101" s="1"/>
      <c r="B101" s="29" t="s">
        <v>145</v>
      </c>
      <c r="C101" s="30" t="s">
        <v>109</v>
      </c>
      <c r="D101" s="30" t="s">
        <v>110</v>
      </c>
      <c r="E101" s="30" t="s">
        <v>111</v>
      </c>
      <c r="F101" s="30" t="s">
        <v>112</v>
      </c>
      <c r="G101" s="30" t="s">
        <v>113</v>
      </c>
    </row>
    <row r="102" customFormat="false" ht="15" hidden="false" customHeight="false" outlineLevel="0" collapsed="false">
      <c r="A102" s="5" t="s">
        <v>43</v>
      </c>
      <c r="B102" s="27" t="n">
        <f aca="false">B6*Assumptions!$I$28+B30*Assumptions!$I$45+B54*Assumptions!$I$62+B78*Assumptions!$I$79</f>
        <v>30017</v>
      </c>
      <c r="C102" s="27" t="n">
        <f aca="false">C6*Assumptions!$I$28+C30*Assumptions!$I$45+C54*Assumptions!$I$62+C78*Assumptions!$I$79</f>
        <v>30470.00785907</v>
      </c>
      <c r="D102" s="27" t="n">
        <f aca="false">D6*Assumptions!$I$28+D30*Assumptions!$I$45+D54*Assumptions!$I$62+D78*Assumptions!$I$79</f>
        <v>30671.7049602635</v>
      </c>
      <c r="E102" s="27" t="n">
        <f aca="false">E6*Assumptions!$I$28+E30*Assumptions!$I$45+E54*Assumptions!$I$62+E78*Assumptions!$I$79</f>
        <v>30842.0290438786</v>
      </c>
      <c r="F102" s="27" t="n">
        <f aca="false">F6*Assumptions!$I$28+F30*Assumptions!$I$45+F54*Assumptions!$I$62+F78*Assumptions!$I$79</f>
        <v>31271.94021754</v>
      </c>
      <c r="G102" s="27" t="n">
        <f aca="false">G6*Assumptions!$I$28+G30*Assumptions!$I$45+G54*Assumptions!$I$62+G78*Assumptions!$I$79</f>
        <v>31911.7288554475</v>
      </c>
    </row>
    <row r="103" customFormat="false" ht="15" hidden="false" customHeight="false" outlineLevel="0" collapsed="false">
      <c r="A103" s="5" t="s">
        <v>48</v>
      </c>
      <c r="B103" s="27" t="n">
        <f aca="false">B11*Assumptions!$I$28+B35*Assumptions!$I$45+B59*Assumptions!$I$62+B83*Assumptions!$I$79</f>
        <v>5938</v>
      </c>
      <c r="C103" s="27" t="n">
        <f aca="false">C11*Assumptions!$I$28+C35*Assumptions!$I$45+C59*Assumptions!$I$62+C83*Assumptions!$I$79</f>
        <v>5841.57385322507</v>
      </c>
      <c r="D103" s="27" t="n">
        <f aca="false">D11*Assumptions!$I$28+D35*Assumptions!$I$45+D59*Assumptions!$I$62+D83*Assumptions!$I$79</f>
        <v>5872.12868479533</v>
      </c>
      <c r="E103" s="27" t="n">
        <f aca="false">E11*Assumptions!$I$28+E35*Assumptions!$I$45+E59*Assumptions!$I$62+E83*Assumptions!$I$79</f>
        <v>5908.96949099943</v>
      </c>
      <c r="F103" s="27" t="n">
        <f aca="false">F11*Assumptions!$I$28+F35*Assumptions!$I$45+F59*Assumptions!$I$62+F83*Assumptions!$I$79</f>
        <v>6005.32504774848</v>
      </c>
      <c r="G103" s="27" t="n">
        <f aca="false">G11*Assumptions!$I$28+G35*Assumptions!$I$45+G59*Assumptions!$I$62+G83*Assumptions!$I$79</f>
        <v>6153.64825874628</v>
      </c>
    </row>
    <row r="104" customFormat="false" ht="15" hidden="false" customHeight="false" outlineLevel="0" collapsed="false">
      <c r="A104" s="5" t="s">
        <v>152</v>
      </c>
      <c r="B104" s="35" t="n">
        <f aca="false">B17*Assumptions!$I$28+B41*Assumptions!$I$45+B65*Assumptions!$I$62+B89*Assumptions!$I$79</f>
        <v>39571</v>
      </c>
      <c r="C104" s="35" t="n">
        <f aca="false">C17*Assumptions!$I$28+C41*Assumptions!$I$45+C65*Assumptions!$I$62+C89*Assumptions!$I$79</f>
        <v>39092.4352745686</v>
      </c>
      <c r="D104" s="35" t="n">
        <f aca="false">D17*Assumptions!$I$28+D41*Assumptions!$I$45+D65*Assumptions!$I$62+D89*Assumptions!$I$79</f>
        <v>36991.9902803841</v>
      </c>
      <c r="E104" s="35" t="n">
        <f aca="false">E17*Assumptions!$I$28+E41*Assumptions!$I$45+E65*Assumptions!$I$62+E89*Assumptions!$I$79</f>
        <v>38787.9458161271</v>
      </c>
      <c r="F104" s="35" t="n">
        <f aca="false">F17*Assumptions!$I$28+F41*Assumptions!$I$45+F65*Assumptions!$I$62+F89*Assumptions!$I$79</f>
        <v>42590.4004579228</v>
      </c>
      <c r="G104" s="35" t="n">
        <f aca="false">G17*Assumptions!$I$28+G41*Assumptions!$I$45+G65*Assumptions!$I$62+G89*Assumptions!$I$79</f>
        <v>46682.5159961244</v>
      </c>
    </row>
    <row r="105" customFormat="false" ht="15" hidden="false" customHeight="false" outlineLevel="0" collapsed="false">
      <c r="A105" s="5" t="s">
        <v>153</v>
      </c>
      <c r="B105" s="35" t="n">
        <f aca="false">B19*Assumptions!$I$28+B43*Assumptions!$I$45+B67*Assumptions!$I$62+B91*Assumptions!$I$79</f>
        <v>28291</v>
      </c>
      <c r="C105" s="35" t="n">
        <f aca="false">C19*Assumptions!$I$28+C43*Assumptions!$I$45+C67*Assumptions!$I$62+C91*Assumptions!$I$79</f>
        <v>28044.9130659755</v>
      </c>
      <c r="D105" s="35" t="n">
        <f aca="false">D19*Assumptions!$I$28+D43*Assumptions!$I$45+D67*Assumptions!$I$62+D91*Assumptions!$I$79</f>
        <v>26538.0538271476</v>
      </c>
      <c r="E105" s="35" t="n">
        <f aca="false">E19*Assumptions!$I$28+E43*Assumptions!$I$45+E67*Assumptions!$I$62+E91*Assumptions!$I$79</f>
        <v>27826.4723284896</v>
      </c>
      <c r="F105" s="35" t="n">
        <f aca="false">F19*Assumptions!$I$28+F43*Assumptions!$I$45+F67*Assumptions!$I$62+F91*Assumptions!$I$79</f>
        <v>30554.3532885138</v>
      </c>
      <c r="G105" s="35" t="n">
        <f aca="false">G19*Assumptions!$I$28+G43*Assumptions!$I$45+G67*Assumptions!$I$62+G91*Assumptions!$I$79</f>
        <v>33490.0369756197</v>
      </c>
    </row>
    <row r="106" customFormat="false" ht="15" hidden="false" customHeight="false" outlineLevel="0" collapsed="false">
      <c r="A106" s="5" t="s">
        <v>52</v>
      </c>
      <c r="B106" s="35" t="n">
        <f aca="false">B21*Assumptions!$I$28+B45*Assumptions!$I$45+B69*Assumptions!$I$62+B93*Assumptions!$I$79</f>
        <v>584519</v>
      </c>
      <c r="C106" s="35" t="n">
        <f aca="false">C21*Assumptions!$I$28+C45*Assumptions!$I$45+C69*Assumptions!$I$62+C93*Assumptions!$I$79</f>
        <v>572781.629736717</v>
      </c>
      <c r="D106" s="35" t="n">
        <f aca="false">D21*Assumptions!$I$28+D45*Assumptions!$I$45+D69*Assumptions!$I$62+D93*Assumptions!$I$79</f>
        <v>555927.047437814</v>
      </c>
      <c r="E106" s="35" t="n">
        <f aca="false">E21*Assumptions!$I$28+E45*Assumptions!$I$45+E69*Assumptions!$I$62+E93*Assumptions!$I$79</f>
        <v>538260.282667825</v>
      </c>
      <c r="F106" s="35" t="n">
        <f aca="false">F21*Assumptions!$I$28+F45*Assumptions!$I$45+F69*Assumptions!$I$62+F93*Assumptions!$I$79</f>
        <v>524966.882386626</v>
      </c>
      <c r="G106" s="35" t="n">
        <f aca="false">G21*Assumptions!$I$28+G45*Assumptions!$I$45+G69*Assumptions!$I$62+G93*Assumptions!$I$79</f>
        <v>514912.852399111</v>
      </c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</row>
    <row r="108" customFormat="false" ht="15" hidden="false" customHeight="false" outlineLevel="0" collapsed="false">
      <c r="A108" s="5" t="s">
        <v>157</v>
      </c>
      <c r="B108" s="1"/>
      <c r="C108" s="26" t="n">
        <f aca="false">(G102/B102)^(1/5)-1</f>
        <v>0.0123171853530135</v>
      </c>
      <c r="D108" s="1"/>
      <c r="E108" s="1"/>
      <c r="F108" s="1"/>
      <c r="G10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2" t="s">
        <v>158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3" t="s">
        <v>159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15" hidden="false" customHeight="false" outlineLevel="0" collapsed="false">
      <c r="A4" s="18" t="s">
        <v>136</v>
      </c>
      <c r="B4" s="18"/>
      <c r="C4" s="18"/>
      <c r="D4" s="18"/>
      <c r="E4" s="18"/>
      <c r="F4" s="18"/>
      <c r="G4" s="18"/>
    </row>
    <row r="5" customFormat="false" ht="15" hidden="false" customHeight="false" outlineLevel="0" collapsed="false">
      <c r="A5" s="1"/>
      <c r="B5" s="29" t="s">
        <v>145</v>
      </c>
      <c r="C5" s="30" t="s">
        <v>109</v>
      </c>
      <c r="D5" s="30" t="s">
        <v>110</v>
      </c>
      <c r="E5" s="30" t="s">
        <v>111</v>
      </c>
      <c r="F5" s="30" t="s">
        <v>112</v>
      </c>
      <c r="G5" s="30" t="s">
        <v>113</v>
      </c>
    </row>
    <row r="6" customFormat="false" ht="15" hidden="false" customHeight="false" outlineLevel="0" collapsed="false">
      <c r="A6" s="1" t="s">
        <v>160</v>
      </c>
      <c r="B6" s="12" t="n">
        <v>28291</v>
      </c>
      <c r="C6" s="34" t="n">
        <f aca="false">'Scenario Output'!C19</f>
        <v>30543.6619641579</v>
      </c>
      <c r="D6" s="34" t="n">
        <f aca="false">'Scenario Output'!D19</f>
        <v>33106.9248847486</v>
      </c>
      <c r="E6" s="34" t="n">
        <f aca="false">'Scenario Output'!E19</f>
        <v>39899.8237388059</v>
      </c>
      <c r="F6" s="34" t="n">
        <f aca="false">'Scenario Output'!F19</f>
        <v>48056.706785807</v>
      </c>
      <c r="G6" s="34" t="n">
        <f aca="false">'Scenario Output'!G19</f>
        <v>56618.3472265626</v>
      </c>
    </row>
    <row r="7" customFormat="false" ht="15" hidden="false" customHeight="false" outlineLevel="0" collapsed="false">
      <c r="A7" s="1" t="s">
        <v>161</v>
      </c>
      <c r="B7" s="12" t="n">
        <v>4237</v>
      </c>
      <c r="C7" s="34" t="n">
        <f aca="false">B7*(1+Assumptions!$B$98)</f>
        <v>4618.33</v>
      </c>
      <c r="D7" s="34" t="n">
        <f aca="false">C7*(1+Assumptions!$B$98)</f>
        <v>5033.9797</v>
      </c>
      <c r="E7" s="34" t="n">
        <f aca="false">D7*(1+Assumptions!$B$98)</f>
        <v>5487.037873</v>
      </c>
      <c r="F7" s="34" t="n">
        <f aca="false">E7*(1+Assumptions!$B$98)</f>
        <v>5980.87128157</v>
      </c>
      <c r="G7" s="34" t="n">
        <f aca="false">F7*(1+Assumptions!$B$98)</f>
        <v>6519.1496969113</v>
      </c>
    </row>
    <row r="8" customFormat="false" ht="15" hidden="false" customHeight="false" outlineLevel="0" collapsed="false">
      <c r="A8" s="1" t="s">
        <v>162</v>
      </c>
      <c r="B8" s="34" t="n">
        <f aca="false">B6+B7</f>
        <v>32528</v>
      </c>
      <c r="C8" s="34" t="n">
        <f aca="false">C6+C7</f>
        <v>35161.9919641579</v>
      </c>
      <c r="D8" s="34" t="n">
        <f aca="false">D6+D7</f>
        <v>38140.9045847486</v>
      </c>
      <c r="E8" s="34" t="n">
        <f aca="false">E6+E7</f>
        <v>45386.8616118059</v>
      </c>
      <c r="F8" s="34" t="n">
        <f aca="false">F6+F7</f>
        <v>54037.578067377</v>
      </c>
      <c r="G8" s="34" t="n">
        <f aca="false">G6+G7</f>
        <v>63137.4969234739</v>
      </c>
    </row>
    <row r="9" customFormat="false" ht="15" hidden="false" customHeight="false" outlineLevel="0" collapsed="false">
      <c r="A9" s="1" t="s">
        <v>163</v>
      </c>
      <c r="B9" s="12" t="n">
        <v>6984</v>
      </c>
      <c r="C9" s="34" t="n">
        <f aca="false">B9*(1+Assumptions!$B$100)</f>
        <v>7403.04</v>
      </c>
      <c r="D9" s="34" t="n">
        <f aca="false">C9*(1+Assumptions!$B$100)</f>
        <v>7847.2224</v>
      </c>
      <c r="E9" s="34" t="n">
        <f aca="false">D9*(1+Assumptions!$B$100)</f>
        <v>8318.055744</v>
      </c>
      <c r="F9" s="34" t="n">
        <f aca="false">E9*(1+Assumptions!$B$100)</f>
        <v>8817.13908864</v>
      </c>
      <c r="G9" s="34" t="n">
        <f aca="false">F9*(1+Assumptions!$B$100)</f>
        <v>9346.1674339584</v>
      </c>
    </row>
    <row r="10" customFormat="false" ht="15" hidden="false" customHeight="false" outlineLevel="0" collapsed="false">
      <c r="A10" s="1" t="s">
        <v>164</v>
      </c>
      <c r="B10" s="12" t="n">
        <v>15956</v>
      </c>
      <c r="C10" s="34" t="n">
        <f aca="false">Assumptions!B104</f>
        <v>20000</v>
      </c>
      <c r="D10" s="34" t="n">
        <f aca="false">Assumptions!C104</f>
        <v>24000</v>
      </c>
      <c r="E10" s="34" t="n">
        <f aca="false">Assumptions!D104</f>
        <v>26000</v>
      </c>
      <c r="F10" s="34" t="n">
        <f aca="false">Assumptions!E104</f>
        <v>27000</v>
      </c>
      <c r="G10" s="34" t="n">
        <f aca="false">Assumptions!F104</f>
        <v>28000</v>
      </c>
    </row>
    <row r="11" customFormat="false" ht="15" hidden="false" customHeight="false" outlineLevel="0" collapsed="false">
      <c r="A11" s="5" t="s">
        <v>165</v>
      </c>
      <c r="B11" s="34" t="n">
        <f aca="false">B8-B9-B10</f>
        <v>9588</v>
      </c>
      <c r="C11" s="35" t="n">
        <f aca="false">C8-C9-C10</f>
        <v>7758.95196415789</v>
      </c>
      <c r="D11" s="35" t="n">
        <f aca="false">D8-D9-D10</f>
        <v>6293.68218474858</v>
      </c>
      <c r="E11" s="35" t="n">
        <f aca="false">E8-E9-E10</f>
        <v>11068.8058678059</v>
      </c>
      <c r="F11" s="35" t="n">
        <f aca="false">F8-F9-F10</f>
        <v>18220.438978737</v>
      </c>
      <c r="G11" s="35" t="n">
        <f aca="false">G8-G9-G10</f>
        <v>25791.3294895155</v>
      </c>
    </row>
    <row r="12" customFormat="false" ht="15" hidden="false" customHeight="false" outlineLevel="0" collapsed="false">
      <c r="A12" s="5" t="s">
        <v>166</v>
      </c>
      <c r="B12" s="12" t="n">
        <v>21841</v>
      </c>
      <c r="C12" s="35" t="n">
        <f aca="false">B12+C11</f>
        <v>29599.9519641579</v>
      </c>
      <c r="D12" s="35" t="n">
        <f aca="false">C12+D11</f>
        <v>35893.6341489065</v>
      </c>
      <c r="E12" s="35" t="n">
        <f aca="false">D12+E11</f>
        <v>46962.4400167124</v>
      </c>
      <c r="F12" s="35" t="n">
        <f aca="false">E12+F11</f>
        <v>65182.8789954493</v>
      </c>
      <c r="G12" s="35" t="n">
        <f aca="false">F12+G11</f>
        <v>90974.2084849648</v>
      </c>
    </row>
    <row r="13" customFormat="false" ht="15" hidden="false" customHeight="false" outlineLevel="0" collapsed="false">
      <c r="A13" s="1" t="s">
        <v>167</v>
      </c>
      <c r="B13" s="17" t="n">
        <f aca="false">B6/B8</f>
        <v>0.869742990654206</v>
      </c>
      <c r="C13" s="17" t="n">
        <f aca="false">C6/C8</f>
        <v>0.86865562096972</v>
      </c>
      <c r="D13" s="17" t="n">
        <f aca="false">D6/D8</f>
        <v>0.868016247784198</v>
      </c>
      <c r="E13" s="17" t="n">
        <f aca="false">E6/E8</f>
        <v>0.879105148976136</v>
      </c>
      <c r="F13" s="17" t="n">
        <f aca="false">F6/F8</f>
        <v>0.889320145434484</v>
      </c>
      <c r="G13" s="17" t="n">
        <f aca="false">G6/G8</f>
        <v>0.896746782584478</v>
      </c>
    </row>
    <row r="14" customFormat="false" ht="15" hidden="false" customHeight="false" outlineLevel="0" collapsed="false">
      <c r="A14" s="1" t="s">
        <v>168</v>
      </c>
      <c r="B14" s="37" t="n">
        <f aca="false">B8/B10</f>
        <v>2.03860616695914</v>
      </c>
      <c r="C14" s="37" t="n">
        <f aca="false">C8/C10</f>
        <v>1.75809959820789</v>
      </c>
      <c r="D14" s="37" t="n">
        <f aca="false">D8/D10</f>
        <v>1.58920435769786</v>
      </c>
      <c r="E14" s="37" t="n">
        <f aca="false">E8/E10</f>
        <v>1.745648523531</v>
      </c>
      <c r="F14" s="37" t="n">
        <f aca="false">F8/F10</f>
        <v>2.00139178027322</v>
      </c>
      <c r="G14" s="37" t="n">
        <f aca="false">G8/G10</f>
        <v>2.25491060440978</v>
      </c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</row>
    <row r="16" customFormat="false" ht="15" hidden="false" customHeight="false" outlineLevel="0" collapsed="false">
      <c r="A16" s="5" t="s">
        <v>169</v>
      </c>
      <c r="B16" s="1"/>
      <c r="C16" s="35" t="n">
        <f aca="false">SUM(C11:G11)</f>
        <v>69133.2084849648</v>
      </c>
      <c r="D16" s="1"/>
      <c r="E16" s="1"/>
      <c r="F16" s="1"/>
      <c r="G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</row>
    <row r="19" customFormat="false" ht="15" hidden="false" customHeight="false" outlineLevel="0" collapsed="false">
      <c r="A19" s="18" t="s">
        <v>140</v>
      </c>
      <c r="B19" s="18"/>
      <c r="C19" s="18"/>
      <c r="D19" s="18"/>
      <c r="E19" s="18"/>
      <c r="F19" s="18"/>
      <c r="G19" s="18"/>
    </row>
    <row r="20" customFormat="false" ht="15" hidden="false" customHeight="false" outlineLevel="0" collapsed="false">
      <c r="A20" s="1"/>
      <c r="B20" s="29" t="s">
        <v>145</v>
      </c>
      <c r="C20" s="30" t="s">
        <v>109</v>
      </c>
      <c r="D20" s="30" t="s">
        <v>110</v>
      </c>
      <c r="E20" s="30" t="s">
        <v>111</v>
      </c>
      <c r="F20" s="30" t="s">
        <v>112</v>
      </c>
      <c r="G20" s="30" t="s">
        <v>113</v>
      </c>
    </row>
    <row r="21" customFormat="false" ht="15" hidden="false" customHeight="false" outlineLevel="0" collapsed="false">
      <c r="A21" s="1" t="s">
        <v>160</v>
      </c>
      <c r="B21" s="12" t="n">
        <v>28291</v>
      </c>
      <c r="C21" s="34" t="n">
        <f aca="false">'Scenario Output'!C43</f>
        <v>29108.391940874</v>
      </c>
      <c r="D21" s="34" t="n">
        <f aca="false">'Scenario Output'!D43</f>
        <v>29586.0849990112</v>
      </c>
      <c r="E21" s="34" t="n">
        <f aca="false">'Scenario Output'!E43</f>
        <v>32216.1899842301</v>
      </c>
      <c r="F21" s="34" t="n">
        <f aca="false">'Scenario Output'!F43</f>
        <v>36152.4822283068</v>
      </c>
      <c r="G21" s="34" t="n">
        <f aca="false">'Scenario Output'!G43</f>
        <v>40073.7957219693</v>
      </c>
    </row>
    <row r="22" customFormat="false" ht="15" hidden="false" customHeight="false" outlineLevel="0" collapsed="false">
      <c r="A22" s="1" t="s">
        <v>161</v>
      </c>
      <c r="B22" s="12" t="n">
        <v>4237</v>
      </c>
      <c r="C22" s="34" t="n">
        <f aca="false">B22*(1+Assumptions!$B$98)</f>
        <v>4618.33</v>
      </c>
      <c r="D22" s="34" t="n">
        <f aca="false">C22*(1+Assumptions!$B$98)</f>
        <v>5033.9797</v>
      </c>
      <c r="E22" s="34" t="n">
        <f aca="false">D22*(1+Assumptions!$B$98)</f>
        <v>5487.037873</v>
      </c>
      <c r="F22" s="34" t="n">
        <f aca="false">E22*(1+Assumptions!$B$98)</f>
        <v>5980.87128157</v>
      </c>
      <c r="G22" s="34" t="n">
        <f aca="false">F22*(1+Assumptions!$B$98)</f>
        <v>6519.1496969113</v>
      </c>
    </row>
    <row r="23" customFormat="false" ht="15" hidden="false" customHeight="false" outlineLevel="0" collapsed="false">
      <c r="A23" s="1" t="s">
        <v>162</v>
      </c>
      <c r="B23" s="34" t="n">
        <f aca="false">B21+B22</f>
        <v>32528</v>
      </c>
      <c r="C23" s="34" t="n">
        <f aca="false">C21+C22</f>
        <v>33726.721940874</v>
      </c>
      <c r="D23" s="34" t="n">
        <f aca="false">D21+D22</f>
        <v>34620.0646990112</v>
      </c>
      <c r="E23" s="34" t="n">
        <f aca="false">E21+E22</f>
        <v>37703.2278572301</v>
      </c>
      <c r="F23" s="34" t="n">
        <f aca="false">F21+F22</f>
        <v>42133.3535098767</v>
      </c>
      <c r="G23" s="34" t="n">
        <f aca="false">G21+G22</f>
        <v>46592.9454188806</v>
      </c>
    </row>
    <row r="24" customFormat="false" ht="15" hidden="false" customHeight="false" outlineLevel="0" collapsed="false">
      <c r="A24" s="1" t="s">
        <v>163</v>
      </c>
      <c r="B24" s="12" t="n">
        <v>6984</v>
      </c>
      <c r="C24" s="34" t="n">
        <f aca="false">B24*(1+Assumptions!$B$100)</f>
        <v>7403.04</v>
      </c>
      <c r="D24" s="34" t="n">
        <f aca="false">C24*(1+Assumptions!$B$100)</f>
        <v>7847.2224</v>
      </c>
      <c r="E24" s="34" t="n">
        <f aca="false">D24*(1+Assumptions!$B$100)</f>
        <v>8318.055744</v>
      </c>
      <c r="F24" s="34" t="n">
        <f aca="false">E24*(1+Assumptions!$B$100)</f>
        <v>8817.13908864</v>
      </c>
      <c r="G24" s="34" t="n">
        <f aca="false">F24*(1+Assumptions!$B$100)</f>
        <v>9346.1674339584</v>
      </c>
    </row>
    <row r="25" customFormat="false" ht="15" hidden="false" customHeight="false" outlineLevel="0" collapsed="false">
      <c r="A25" s="1" t="s">
        <v>164</v>
      </c>
      <c r="B25" s="12" t="n">
        <v>15956</v>
      </c>
      <c r="C25" s="34" t="n">
        <f aca="false">Assumptions!B104</f>
        <v>20000</v>
      </c>
      <c r="D25" s="34" t="n">
        <f aca="false">Assumptions!C104</f>
        <v>24000</v>
      </c>
      <c r="E25" s="34" t="n">
        <f aca="false">Assumptions!D104</f>
        <v>26000</v>
      </c>
      <c r="F25" s="34" t="n">
        <f aca="false">Assumptions!E104</f>
        <v>27000</v>
      </c>
      <c r="G25" s="34" t="n">
        <f aca="false">Assumptions!F104</f>
        <v>28000</v>
      </c>
    </row>
    <row r="26" customFormat="false" ht="15" hidden="false" customHeight="false" outlineLevel="0" collapsed="false">
      <c r="A26" s="5" t="s">
        <v>165</v>
      </c>
      <c r="B26" s="34" t="n">
        <f aca="false">B23-B24-B25</f>
        <v>9588</v>
      </c>
      <c r="C26" s="35" t="n">
        <f aca="false">C23-C24-C25</f>
        <v>6323.681940874</v>
      </c>
      <c r="D26" s="35" t="n">
        <f aca="false">D23-D24-D25</f>
        <v>2772.84229901119</v>
      </c>
      <c r="E26" s="35" t="n">
        <f aca="false">E23-E24-E25</f>
        <v>3385.17211323006</v>
      </c>
      <c r="F26" s="35" t="n">
        <f aca="false">F23-F24-F25</f>
        <v>6316.21442123674</v>
      </c>
      <c r="G26" s="35" t="n">
        <f aca="false">G23-G24-G25</f>
        <v>9246.77798492223</v>
      </c>
    </row>
    <row r="27" customFormat="false" ht="15" hidden="false" customHeight="false" outlineLevel="0" collapsed="false">
      <c r="A27" s="5" t="s">
        <v>166</v>
      </c>
      <c r="B27" s="12" t="n">
        <v>21841</v>
      </c>
      <c r="C27" s="35" t="n">
        <f aca="false">B27+C26</f>
        <v>28164.681940874</v>
      </c>
      <c r="D27" s="35" t="n">
        <f aca="false">C27+D26</f>
        <v>30937.5242398852</v>
      </c>
      <c r="E27" s="35" t="n">
        <f aca="false">D27+E26</f>
        <v>34322.6963531152</v>
      </c>
      <c r="F27" s="35" t="n">
        <f aca="false">E27+F26</f>
        <v>40638.910774352</v>
      </c>
      <c r="G27" s="35" t="n">
        <f aca="false">F27+G26</f>
        <v>49885.6887592742</v>
      </c>
    </row>
    <row r="28" customFormat="false" ht="15" hidden="false" customHeight="false" outlineLevel="0" collapsed="false">
      <c r="A28" s="1" t="s">
        <v>167</v>
      </c>
      <c r="B28" s="17" t="n">
        <f aca="false">B21/B23</f>
        <v>0.869742990654206</v>
      </c>
      <c r="C28" s="17" t="n">
        <f aca="false">C21/C23</f>
        <v>0.863066146538156</v>
      </c>
      <c r="D28" s="17" t="n">
        <f aca="false">D21/D23</f>
        <v>0.854593579077171</v>
      </c>
      <c r="E28" s="17" t="n">
        <f aca="false">E21/E23</f>
        <v>0.854467689244602</v>
      </c>
      <c r="F28" s="17" t="n">
        <f aca="false">F21/F23</f>
        <v>0.858049009078568</v>
      </c>
      <c r="G28" s="17" t="n">
        <f aca="false">G21/G23</f>
        <v>0.860082902286972</v>
      </c>
    </row>
    <row r="29" customFormat="false" ht="15" hidden="false" customHeight="false" outlineLevel="0" collapsed="false">
      <c r="A29" s="1" t="s">
        <v>168</v>
      </c>
      <c r="B29" s="37" t="n">
        <f aca="false">B23/B25</f>
        <v>2.03860616695914</v>
      </c>
      <c r="C29" s="37" t="n">
        <f aca="false">C23/C25</f>
        <v>1.6863360970437</v>
      </c>
      <c r="D29" s="37" t="n">
        <f aca="false">D23/D25</f>
        <v>1.44250269579213</v>
      </c>
      <c r="E29" s="37" t="n">
        <f aca="false">E23/E25</f>
        <v>1.450124148355</v>
      </c>
      <c r="F29" s="37" t="n">
        <f aca="false">F23/F25</f>
        <v>1.56049457443988</v>
      </c>
      <c r="G29" s="37" t="n">
        <f aca="false">G23/G25</f>
        <v>1.66403376496002</v>
      </c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</row>
    <row r="31" customFormat="false" ht="15" hidden="false" customHeight="false" outlineLevel="0" collapsed="false">
      <c r="A31" s="5" t="s">
        <v>169</v>
      </c>
      <c r="B31" s="1"/>
      <c r="C31" s="35" t="n">
        <f aca="false">SUM(C26:G26)</f>
        <v>28044.6887592742</v>
      </c>
      <c r="D31" s="1"/>
      <c r="E31" s="1"/>
      <c r="F31" s="1"/>
      <c r="G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</row>
    <row r="34" customFormat="false" ht="15" hidden="false" customHeight="false" outlineLevel="0" collapsed="false">
      <c r="A34" s="18" t="s">
        <v>141</v>
      </c>
      <c r="B34" s="18"/>
      <c r="C34" s="18"/>
      <c r="D34" s="18"/>
      <c r="E34" s="18"/>
      <c r="F34" s="18"/>
      <c r="G34" s="18"/>
    </row>
    <row r="35" customFormat="false" ht="15" hidden="false" customHeight="false" outlineLevel="0" collapsed="false">
      <c r="A35" s="1"/>
      <c r="B35" s="29" t="s">
        <v>145</v>
      </c>
      <c r="C35" s="30" t="s">
        <v>109</v>
      </c>
      <c r="D35" s="30" t="s">
        <v>110</v>
      </c>
      <c r="E35" s="30" t="s">
        <v>111</v>
      </c>
      <c r="F35" s="30" t="s">
        <v>112</v>
      </c>
      <c r="G35" s="30" t="s">
        <v>113</v>
      </c>
    </row>
    <row r="36" customFormat="false" ht="15" hidden="false" customHeight="false" outlineLevel="0" collapsed="false">
      <c r="A36" s="1" t="s">
        <v>160</v>
      </c>
      <c r="B36" s="12" t="n">
        <v>28291</v>
      </c>
      <c r="C36" s="34" t="n">
        <f aca="false">'Scenario Output'!C67</f>
        <v>27111.9032597835</v>
      </c>
      <c r="D36" s="34" t="n">
        <f aca="false">'Scenario Output'!D67</f>
        <v>23599.2619697635</v>
      </c>
      <c r="E36" s="34" t="n">
        <f aca="false">'Scenario Output'!E67</f>
        <v>22682.845929864</v>
      </c>
      <c r="F36" s="34" t="n">
        <f aca="false">'Scenario Output'!F67</f>
        <v>22952.5880223448</v>
      </c>
      <c r="G36" s="34" t="n">
        <f aca="false">'Scenario Output'!G67</f>
        <v>23582.9663022313</v>
      </c>
    </row>
    <row r="37" customFormat="false" ht="15" hidden="false" customHeight="false" outlineLevel="0" collapsed="false">
      <c r="A37" s="1" t="s">
        <v>161</v>
      </c>
      <c r="B37" s="12" t="n">
        <v>4237</v>
      </c>
      <c r="C37" s="34" t="n">
        <f aca="false">B37*(1+Assumptions!$B$98)</f>
        <v>4618.33</v>
      </c>
      <c r="D37" s="34" t="n">
        <f aca="false">C37*(1+Assumptions!$B$98)</f>
        <v>5033.9797</v>
      </c>
      <c r="E37" s="34" t="n">
        <f aca="false">D37*(1+Assumptions!$B$98)</f>
        <v>5487.037873</v>
      </c>
      <c r="F37" s="34" t="n">
        <f aca="false">E37*(1+Assumptions!$B$98)</f>
        <v>5980.87128157</v>
      </c>
      <c r="G37" s="34" t="n">
        <f aca="false">F37*(1+Assumptions!$B$98)</f>
        <v>6519.1496969113</v>
      </c>
    </row>
    <row r="38" customFormat="false" ht="15" hidden="false" customHeight="false" outlineLevel="0" collapsed="false">
      <c r="A38" s="1" t="s">
        <v>162</v>
      </c>
      <c r="B38" s="34" t="n">
        <f aca="false">B36+B37</f>
        <v>32528</v>
      </c>
      <c r="C38" s="34" t="n">
        <f aca="false">C36+C37</f>
        <v>31730.2332597835</v>
      </c>
      <c r="D38" s="34" t="n">
        <f aca="false">D36+D37</f>
        <v>28633.2416697635</v>
      </c>
      <c r="E38" s="34" t="n">
        <f aca="false">E36+E37</f>
        <v>28169.883802864</v>
      </c>
      <c r="F38" s="34" t="n">
        <f aca="false">F36+F37</f>
        <v>28933.4593039148</v>
      </c>
      <c r="G38" s="34" t="n">
        <f aca="false">G36+G37</f>
        <v>30102.1159991426</v>
      </c>
    </row>
    <row r="39" customFormat="false" ht="15" hidden="false" customHeight="false" outlineLevel="0" collapsed="false">
      <c r="A39" s="1" t="s">
        <v>163</v>
      </c>
      <c r="B39" s="12" t="n">
        <v>6984</v>
      </c>
      <c r="C39" s="34" t="n">
        <f aca="false">B39*(1+Assumptions!$B$100)</f>
        <v>7403.04</v>
      </c>
      <c r="D39" s="34" t="n">
        <f aca="false">C39*(1+Assumptions!$B$100)</f>
        <v>7847.2224</v>
      </c>
      <c r="E39" s="34" t="n">
        <f aca="false">D39*(1+Assumptions!$B$100)</f>
        <v>8318.055744</v>
      </c>
      <c r="F39" s="34" t="n">
        <f aca="false">E39*(1+Assumptions!$B$100)</f>
        <v>8817.13908864</v>
      </c>
      <c r="G39" s="34" t="n">
        <f aca="false">F39*(1+Assumptions!$B$100)</f>
        <v>9346.1674339584</v>
      </c>
    </row>
    <row r="40" customFormat="false" ht="15" hidden="false" customHeight="false" outlineLevel="0" collapsed="false">
      <c r="A40" s="1" t="s">
        <v>164</v>
      </c>
      <c r="B40" s="12" t="n">
        <v>15956</v>
      </c>
      <c r="C40" s="34" t="n">
        <f aca="false">Assumptions!B104</f>
        <v>20000</v>
      </c>
      <c r="D40" s="34" t="n">
        <f aca="false">Assumptions!C104</f>
        <v>24000</v>
      </c>
      <c r="E40" s="34" t="n">
        <f aca="false">Assumptions!D104</f>
        <v>26000</v>
      </c>
      <c r="F40" s="34" t="n">
        <f aca="false">Assumptions!E104</f>
        <v>27000</v>
      </c>
      <c r="G40" s="34" t="n">
        <f aca="false">Assumptions!F104</f>
        <v>28000</v>
      </c>
    </row>
    <row r="41" customFormat="false" ht="15" hidden="false" customHeight="false" outlineLevel="0" collapsed="false">
      <c r="A41" s="5" t="s">
        <v>165</v>
      </c>
      <c r="B41" s="34" t="n">
        <f aca="false">B38-B39-B40</f>
        <v>9588</v>
      </c>
      <c r="C41" s="35" t="n">
        <f aca="false">C38-C39-C40</f>
        <v>4327.19325978353</v>
      </c>
      <c r="D41" s="35" t="n">
        <f aca="false">D38-D39-D40</f>
        <v>-3213.98073023647</v>
      </c>
      <c r="E41" s="35" t="n">
        <f aca="false">E38-E39-E40</f>
        <v>-6148.17194113605</v>
      </c>
      <c r="F41" s="35" t="n">
        <f aca="false">F38-F39-F40</f>
        <v>-6883.67978472519</v>
      </c>
      <c r="G41" s="35" t="n">
        <f aca="false">G38-G39-G40</f>
        <v>-7244.05143481577</v>
      </c>
    </row>
    <row r="42" customFormat="false" ht="15" hidden="false" customHeight="false" outlineLevel="0" collapsed="false">
      <c r="A42" s="5" t="s">
        <v>166</v>
      </c>
      <c r="B42" s="12" t="n">
        <v>21841</v>
      </c>
      <c r="C42" s="35" t="n">
        <f aca="false">B42+C41</f>
        <v>26168.1932597835</v>
      </c>
      <c r="D42" s="35" t="n">
        <f aca="false">C42+D41</f>
        <v>22954.2125295471</v>
      </c>
      <c r="E42" s="35" t="n">
        <f aca="false">D42+E41</f>
        <v>16806.040588411</v>
      </c>
      <c r="F42" s="35" t="n">
        <f aca="false">E42+F41</f>
        <v>9922.36080368582</v>
      </c>
      <c r="G42" s="35" t="n">
        <f aca="false">F42+G41</f>
        <v>2678.30936887005</v>
      </c>
    </row>
    <row r="43" customFormat="false" ht="15" hidden="false" customHeight="false" outlineLevel="0" collapsed="false">
      <c r="A43" s="1" t="s">
        <v>167</v>
      </c>
      <c r="B43" s="17" t="n">
        <f aca="false">B36/B38</f>
        <v>0.869742990654206</v>
      </c>
      <c r="C43" s="17" t="n">
        <f aca="false">C36/C38</f>
        <v>0.854450171790779</v>
      </c>
      <c r="D43" s="17" t="n">
        <f aca="false">D36/D38</f>
        <v>0.824191065822776</v>
      </c>
      <c r="E43" s="17" t="n">
        <f aca="false">E36/E38</f>
        <v>0.805216169459593</v>
      </c>
      <c r="F43" s="17" t="n">
        <f aca="false">F36/F38</f>
        <v>0.793288758915849</v>
      </c>
      <c r="G43" s="17" t="n">
        <f aca="false">G36/G38</f>
        <v>0.78343217808685</v>
      </c>
    </row>
    <row r="44" customFormat="false" ht="15" hidden="false" customHeight="false" outlineLevel="0" collapsed="false">
      <c r="A44" s="1" t="s">
        <v>168</v>
      </c>
      <c r="B44" s="37" t="n">
        <f aca="false">B38/B40</f>
        <v>2.03860616695914</v>
      </c>
      <c r="C44" s="37" t="n">
        <f aca="false">C38/C40</f>
        <v>1.58651166298918</v>
      </c>
      <c r="D44" s="37" t="n">
        <f aca="false">D38/D40</f>
        <v>1.19305173624015</v>
      </c>
      <c r="E44" s="37" t="n">
        <f aca="false">E38/E40</f>
        <v>1.08345706934092</v>
      </c>
      <c r="F44" s="37" t="n">
        <f aca="false">F38/F40</f>
        <v>1.0716096038487</v>
      </c>
      <c r="G44" s="37" t="n">
        <f aca="false">G38/G40</f>
        <v>1.07507557139795</v>
      </c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</row>
    <row r="46" customFormat="false" ht="15" hidden="false" customHeight="false" outlineLevel="0" collapsed="false">
      <c r="A46" s="5" t="s">
        <v>169</v>
      </c>
      <c r="B46" s="1"/>
      <c r="C46" s="35" t="n">
        <f aca="false">SUM(C41:G41)</f>
        <v>-19162.6906311299</v>
      </c>
      <c r="D46" s="1"/>
      <c r="E46" s="1"/>
      <c r="F46" s="1"/>
      <c r="G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</row>
    <row r="49" customFormat="false" ht="15" hidden="false" customHeight="false" outlineLevel="0" collapsed="false">
      <c r="A49" s="18" t="s">
        <v>142</v>
      </c>
      <c r="B49" s="18"/>
      <c r="C49" s="18"/>
      <c r="D49" s="18"/>
      <c r="E49" s="18"/>
      <c r="F49" s="18"/>
      <c r="G49" s="18"/>
    </row>
    <row r="50" customFormat="false" ht="15" hidden="false" customHeight="false" outlineLevel="0" collapsed="false">
      <c r="A50" s="1"/>
      <c r="B50" s="29" t="s">
        <v>145</v>
      </c>
      <c r="C50" s="30" t="s">
        <v>109</v>
      </c>
      <c r="D50" s="30" t="s">
        <v>110</v>
      </c>
      <c r="E50" s="30" t="s">
        <v>111</v>
      </c>
      <c r="F50" s="30" t="s">
        <v>112</v>
      </c>
      <c r="G50" s="30" t="s">
        <v>113</v>
      </c>
    </row>
    <row r="51" customFormat="false" ht="15" hidden="false" customHeight="false" outlineLevel="0" collapsed="false">
      <c r="A51" s="1" t="s">
        <v>160</v>
      </c>
      <c r="B51" s="12" t="n">
        <v>28291</v>
      </c>
      <c r="C51" s="34" t="n">
        <f aca="false">'Scenario Output'!C91</f>
        <v>24576.240113781</v>
      </c>
      <c r="D51" s="34" t="n">
        <f aca="false">'Scenario Output'!D91</f>
        <v>17718.6833593451</v>
      </c>
      <c r="E51" s="34" t="n">
        <f aca="false">'Scenario Output'!E91</f>
        <v>14334.4599667834</v>
      </c>
      <c r="F51" s="34" t="n">
        <f aca="false">'Scenario Output'!F91</f>
        <v>13327.1864841106</v>
      </c>
      <c r="G51" s="34" t="n">
        <f aca="false">'Scenario Output'!G91</f>
        <v>12619.1780811877</v>
      </c>
    </row>
    <row r="52" customFormat="false" ht="15" hidden="false" customHeight="false" outlineLevel="0" collapsed="false">
      <c r="A52" s="1" t="s">
        <v>161</v>
      </c>
      <c r="B52" s="12" t="n">
        <v>4237</v>
      </c>
      <c r="C52" s="34" t="n">
        <f aca="false">B52*(1+Assumptions!$B$98)</f>
        <v>4618.33</v>
      </c>
      <c r="D52" s="34" t="n">
        <f aca="false">C52*(1+Assumptions!$B$98)</f>
        <v>5033.9797</v>
      </c>
      <c r="E52" s="34" t="n">
        <f aca="false">D52*(1+Assumptions!$B$98)</f>
        <v>5487.037873</v>
      </c>
      <c r="F52" s="34" t="n">
        <f aca="false">E52*(1+Assumptions!$B$98)</f>
        <v>5980.87128157</v>
      </c>
      <c r="G52" s="34" t="n">
        <f aca="false">F52*(1+Assumptions!$B$98)</f>
        <v>6519.1496969113</v>
      </c>
    </row>
    <row r="53" customFormat="false" ht="15" hidden="false" customHeight="false" outlineLevel="0" collapsed="false">
      <c r="A53" s="1" t="s">
        <v>162</v>
      </c>
      <c r="B53" s="34" t="n">
        <f aca="false">B51+B52</f>
        <v>32528</v>
      </c>
      <c r="C53" s="34" t="n">
        <f aca="false">C51+C52</f>
        <v>29194.570113781</v>
      </c>
      <c r="D53" s="34" t="n">
        <f aca="false">D51+D52</f>
        <v>22752.6630593451</v>
      </c>
      <c r="E53" s="34" t="n">
        <f aca="false">E51+E52</f>
        <v>19821.4978397834</v>
      </c>
      <c r="F53" s="34" t="n">
        <f aca="false">F51+F52</f>
        <v>19308.0577656806</v>
      </c>
      <c r="G53" s="34" t="n">
        <f aca="false">G51+G52</f>
        <v>19138.327778099</v>
      </c>
    </row>
    <row r="54" customFormat="false" ht="15" hidden="false" customHeight="false" outlineLevel="0" collapsed="false">
      <c r="A54" s="1" t="s">
        <v>163</v>
      </c>
      <c r="B54" s="12" t="n">
        <v>6984</v>
      </c>
      <c r="C54" s="34" t="n">
        <f aca="false">B54*(1+Assumptions!$B$100)</f>
        <v>7403.04</v>
      </c>
      <c r="D54" s="34" t="n">
        <f aca="false">C54*(1+Assumptions!$B$100)</f>
        <v>7847.2224</v>
      </c>
      <c r="E54" s="34" t="n">
        <f aca="false">D54*(1+Assumptions!$B$100)</f>
        <v>8318.055744</v>
      </c>
      <c r="F54" s="34" t="n">
        <f aca="false">E54*(1+Assumptions!$B$100)</f>
        <v>8817.13908864</v>
      </c>
      <c r="G54" s="34" t="n">
        <f aca="false">F54*(1+Assumptions!$B$100)</f>
        <v>9346.1674339584</v>
      </c>
    </row>
    <row r="55" customFormat="false" ht="15" hidden="false" customHeight="false" outlineLevel="0" collapsed="false">
      <c r="A55" s="1" t="s">
        <v>164</v>
      </c>
      <c r="B55" s="12" t="n">
        <v>15956</v>
      </c>
      <c r="C55" s="34" t="n">
        <f aca="false">Assumptions!B104</f>
        <v>20000</v>
      </c>
      <c r="D55" s="34" t="n">
        <f aca="false">Assumptions!C104</f>
        <v>24000</v>
      </c>
      <c r="E55" s="34" t="n">
        <f aca="false">Assumptions!D104</f>
        <v>26000</v>
      </c>
      <c r="F55" s="34" t="n">
        <f aca="false">Assumptions!E104</f>
        <v>27000</v>
      </c>
      <c r="G55" s="34" t="n">
        <f aca="false">Assumptions!F104</f>
        <v>28000</v>
      </c>
    </row>
    <row r="56" customFormat="false" ht="15" hidden="false" customHeight="false" outlineLevel="0" collapsed="false">
      <c r="A56" s="5" t="s">
        <v>165</v>
      </c>
      <c r="B56" s="34" t="n">
        <f aca="false">B53-B54-B55</f>
        <v>9588</v>
      </c>
      <c r="C56" s="35" t="n">
        <f aca="false">C53-C54-C55</f>
        <v>1791.53011378098</v>
      </c>
      <c r="D56" s="35" t="n">
        <f aca="false">D53-D54-D55</f>
        <v>-9094.5593406549</v>
      </c>
      <c r="E56" s="35" t="n">
        <f aca="false">E53-E54-E55</f>
        <v>-14496.5579042166</v>
      </c>
      <c r="F56" s="35" t="n">
        <f aca="false">F53-F54-F55</f>
        <v>-16509.0813229594</v>
      </c>
      <c r="G56" s="35" t="n">
        <f aca="false">G53-G54-G55</f>
        <v>-18207.8396558594</v>
      </c>
    </row>
    <row r="57" customFormat="false" ht="15" hidden="false" customHeight="false" outlineLevel="0" collapsed="false">
      <c r="A57" s="5" t="s">
        <v>166</v>
      </c>
      <c r="B57" s="12" t="n">
        <v>21841</v>
      </c>
      <c r="C57" s="35" t="n">
        <f aca="false">B57+C56</f>
        <v>23632.530113781</v>
      </c>
      <c r="D57" s="35" t="n">
        <f aca="false">C57+D56</f>
        <v>14537.9707731261</v>
      </c>
      <c r="E57" s="35" t="n">
        <f aca="false">D57+E56</f>
        <v>41.4128689095032</v>
      </c>
      <c r="F57" s="35" t="n">
        <f aca="false">E57+F56</f>
        <v>-16467.6684540499</v>
      </c>
      <c r="G57" s="35" t="n">
        <f aca="false">F57+G56</f>
        <v>-34675.5081099093</v>
      </c>
    </row>
    <row r="58" customFormat="false" ht="15" hidden="false" customHeight="false" outlineLevel="0" collapsed="false">
      <c r="A58" s="1" t="s">
        <v>167</v>
      </c>
      <c r="B58" s="17" t="n">
        <f aca="false">B51/B53</f>
        <v>0.869742990654206</v>
      </c>
      <c r="C58" s="17" t="n">
        <f aca="false">C51/C53</f>
        <v>0.841808597215139</v>
      </c>
      <c r="D58" s="17" t="n">
        <f aca="false">D51/D53</f>
        <v>0.778752065774893</v>
      </c>
      <c r="E58" s="17" t="n">
        <f aca="false">E51/E53</f>
        <v>0.723177435058059</v>
      </c>
      <c r="F58" s="17" t="n">
        <f aca="false">F51/F53</f>
        <v>0.690239621501403</v>
      </c>
      <c r="G58" s="17" t="n">
        <f aca="false">G51/G53</f>
        <v>0.659366807147513</v>
      </c>
    </row>
    <row r="59" customFormat="false" ht="15" hidden="false" customHeight="false" outlineLevel="0" collapsed="false">
      <c r="A59" s="1" t="s">
        <v>168</v>
      </c>
      <c r="B59" s="37" t="n">
        <f aca="false">B53/B55</f>
        <v>2.03860616695914</v>
      </c>
      <c r="C59" s="37" t="n">
        <f aca="false">C53/C55</f>
        <v>1.45972850568905</v>
      </c>
      <c r="D59" s="37" t="n">
        <f aca="false">D53/D55</f>
        <v>0.948027627472712</v>
      </c>
      <c r="E59" s="37" t="n">
        <f aca="false">E53/E55</f>
        <v>0.762365301530132</v>
      </c>
      <c r="F59" s="37" t="n">
        <f aca="false">F53/F55</f>
        <v>0.715113250580764</v>
      </c>
      <c r="G59" s="37" t="n">
        <f aca="false">G53/G55</f>
        <v>0.683511706360679</v>
      </c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</row>
    <row r="61" customFormat="false" ht="15" hidden="false" customHeight="false" outlineLevel="0" collapsed="false">
      <c r="A61" s="5" t="s">
        <v>169</v>
      </c>
      <c r="B61" s="1"/>
      <c r="C61" s="35" t="n">
        <f aca="false">SUM(C56:G56)</f>
        <v>-56516.5081099093</v>
      </c>
      <c r="D61" s="1"/>
      <c r="E61" s="1"/>
      <c r="F61" s="1"/>
      <c r="G61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9" min="2" style="0" width="13"/>
  </cols>
  <sheetData>
    <row r="1" customFormat="false" ht="17.35" hidden="false" customHeight="false" outlineLevel="0" collapsed="false">
      <c r="A1" s="2" t="s">
        <v>170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3" t="s">
        <v>171</v>
      </c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5" t="s">
        <v>172</v>
      </c>
      <c r="B4" s="1"/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 t="s">
        <v>173</v>
      </c>
      <c r="B5" s="32" t="n">
        <f aca="false">Assumptions!B5</f>
        <v>30017</v>
      </c>
      <c r="C5" s="1"/>
      <c r="D5" s="1"/>
      <c r="E5" s="1"/>
      <c r="F5" s="1"/>
      <c r="G5" s="1"/>
      <c r="H5" s="1"/>
    </row>
    <row r="6" customFormat="false" ht="15" hidden="false" customHeight="false" outlineLevel="0" collapsed="false">
      <c r="A6" s="1" t="s">
        <v>174</v>
      </c>
      <c r="B6" s="38" t="n">
        <f aca="false">Assumptions!B8*(1+Assumptions!B9)^5</f>
        <v>98.219028252672</v>
      </c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 t="s">
        <v>115</v>
      </c>
      <c r="B7" s="21" t="n">
        <v>0.82</v>
      </c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1" t="s">
        <v>116</v>
      </c>
      <c r="B8" s="21" t="n">
        <v>0.92</v>
      </c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5" t="s">
        <v>175</v>
      </c>
      <c r="B10" s="1"/>
      <c r="C10" s="1"/>
      <c r="D10" s="1"/>
      <c r="E10" s="1"/>
      <c r="F10" s="1"/>
      <c r="G10" s="1"/>
      <c r="H10" s="1"/>
    </row>
    <row r="11" customFormat="false" ht="15" hidden="false" customHeight="false" outlineLevel="0" collapsed="false">
      <c r="A11" s="29" t="s">
        <v>176</v>
      </c>
      <c r="B11" s="39" t="n">
        <v>0.175</v>
      </c>
      <c r="C11" s="39" t="n">
        <v>0.19</v>
      </c>
      <c r="D11" s="39" t="n">
        <v>0.205</v>
      </c>
      <c r="E11" s="39" t="n">
        <v>0.22</v>
      </c>
      <c r="F11" s="39" t="n">
        <v>0.235</v>
      </c>
      <c r="G11" s="39" t="n">
        <v>0.25</v>
      </c>
      <c r="H11" s="39" t="n">
        <v>0.265</v>
      </c>
    </row>
    <row r="12" customFormat="false" ht="15" hidden="false" customHeight="false" outlineLevel="0" collapsed="false">
      <c r="A12" s="40" t="n">
        <v>-0.09</v>
      </c>
      <c r="B12" s="41" t="n">
        <f aca="false">$B$5*(1+$A12)^5*(B$11+Assumptions!$B$10)*(1-Assumptions!$B$11)*$B$6/10*$B$7*$B$8*Assumptions!$B$12</f>
        <v>14168.4575048769</v>
      </c>
      <c r="C12" s="41" t="n">
        <f aca="false">$B$5*(1+$A12)^5*(C$11+Assumptions!$B$10)*(1-Assumptions!$B$11)*$B$6/10*$B$7*$B$8*Assumptions!$B$12</f>
        <v>15281.1635916474</v>
      </c>
      <c r="D12" s="41" t="n">
        <f aca="false">$B$5*(1+$A12)^5*(D$11+Assumptions!$B$10)*(1-Assumptions!$B$11)*$B$6/10*$B$7*$B$8*Assumptions!$B$12</f>
        <v>16393.8696784178</v>
      </c>
      <c r="E12" s="41" t="n">
        <f aca="false">$B$5*(1+$A12)^5*(E$11+Assumptions!$B$10)*(1-Assumptions!$B$11)*$B$6/10*$B$7*$B$8*Assumptions!$B$12</f>
        <v>17506.5757651883</v>
      </c>
      <c r="F12" s="41" t="n">
        <f aca="false">$B$5*(1+$A12)^5*(F$11+Assumptions!$B$10)*(1-Assumptions!$B$11)*$B$6/10*$B$7*$B$8*Assumptions!$B$12</f>
        <v>18619.2818519587</v>
      </c>
      <c r="G12" s="41" t="n">
        <f aca="false">$B$5*(1+$A12)^5*(G$11+Assumptions!$B$10)*(1-Assumptions!$B$11)*$B$6/10*$B$7*$B$8*Assumptions!$B$12</f>
        <v>19731.9879387291</v>
      </c>
      <c r="H12" s="41" t="n">
        <f aca="false">$B$5*(1+$A12)^5*(H$11+Assumptions!$B$10)*(1-Assumptions!$B$11)*$B$6/10*$B$7*$B$8*Assumptions!$B$12</f>
        <v>20844.6940254996</v>
      </c>
    </row>
    <row r="13" customFormat="false" ht="15" hidden="false" customHeight="false" outlineLevel="0" collapsed="false">
      <c r="A13" s="40" t="n">
        <v>-0.06</v>
      </c>
      <c r="B13" s="41" t="n">
        <f aca="false">$B$5*(1+$A13)^5*(B$11+Assumptions!$B$10)*(1-Assumptions!$B$11)*$B$6/10*$B$7*$B$8*Assumptions!$B$12</f>
        <v>16663.0646124269</v>
      </c>
      <c r="C13" s="41" t="n">
        <f aca="false">$B$5*(1+$A13)^5*(C$11+Assumptions!$B$10)*(1-Assumptions!$B$11)*$B$6/10*$B$7*$B$8*Assumptions!$B$12</f>
        <v>17971.6822521463</v>
      </c>
      <c r="D13" s="41" t="n">
        <f aca="false">$B$5*(1+$A13)^5*(D$11+Assumptions!$B$10)*(1-Assumptions!$B$11)*$B$6/10*$B$7*$B$8*Assumptions!$B$12</f>
        <v>19280.2998918657</v>
      </c>
      <c r="E13" s="41" t="n">
        <f aca="false">$B$5*(1+$A13)^5*(E$11+Assumptions!$B$10)*(1-Assumptions!$B$11)*$B$6/10*$B$7*$B$8*Assumptions!$B$12</f>
        <v>20588.9175315851</v>
      </c>
      <c r="F13" s="41" t="n">
        <f aca="false">$B$5*(1+$A13)^5*(F$11+Assumptions!$B$10)*(1-Assumptions!$B$11)*$B$6/10*$B$7*$B$8*Assumptions!$B$12</f>
        <v>21897.5351713044</v>
      </c>
      <c r="G13" s="41" t="n">
        <f aca="false">$B$5*(1+$A13)^5*(G$11+Assumptions!$B$10)*(1-Assumptions!$B$11)*$B$6/10*$B$7*$B$8*Assumptions!$B$12</f>
        <v>23206.1528110238</v>
      </c>
      <c r="H13" s="41" t="n">
        <f aca="false">$B$5*(1+$A13)^5*(H$11+Assumptions!$B$10)*(1-Assumptions!$B$11)*$B$6/10*$B$7*$B$8*Assumptions!$B$12</f>
        <v>24514.7704507432</v>
      </c>
    </row>
    <row r="14" customFormat="false" ht="15" hidden="false" customHeight="false" outlineLevel="0" collapsed="false">
      <c r="A14" s="40" t="n">
        <v>-0.03</v>
      </c>
      <c r="B14" s="41" t="n">
        <f aca="false">$B$5*(1+$A14)^5*(B$11+Assumptions!$B$10)*(1-Assumptions!$B$11)*$B$6/10*$B$7*$B$8*Assumptions!$B$12</f>
        <v>19497.2913601632</v>
      </c>
      <c r="C14" s="41" t="n">
        <f aca="false">$B$5*(1+$A14)^5*(C$11+Assumptions!$B$10)*(1-Assumptions!$B$11)*$B$6/10*$B$7*$B$8*Assumptions!$B$12</f>
        <v>21028.4922523226</v>
      </c>
      <c r="D14" s="41" t="n">
        <f aca="false">$B$5*(1+$A14)^5*(D$11+Assumptions!$B$10)*(1-Assumptions!$B$11)*$B$6/10*$B$7*$B$8*Assumptions!$B$12</f>
        <v>22559.6931444821</v>
      </c>
      <c r="E14" s="41" t="n">
        <f aca="false">$B$5*(1+$A14)^5*(E$11+Assumptions!$B$10)*(1-Assumptions!$B$11)*$B$6/10*$B$7*$B$8*Assumptions!$B$12</f>
        <v>24090.8940366415</v>
      </c>
      <c r="F14" s="41" t="n">
        <f aca="false">$B$5*(1+$A14)^5*(F$11+Assumptions!$B$10)*(1-Assumptions!$B$11)*$B$6/10*$B$7*$B$8*Assumptions!$B$12</f>
        <v>25622.0949288009</v>
      </c>
      <c r="G14" s="41" t="n">
        <f aca="false">$B$5*(1+$A14)^5*(G$11+Assumptions!$B$10)*(1-Assumptions!$B$11)*$B$6/10*$B$7*$B$8*Assumptions!$B$12</f>
        <v>27153.2958209603</v>
      </c>
      <c r="H14" s="41" t="n">
        <f aca="false">$B$5*(1+$A14)^5*(H$11+Assumptions!$B$10)*(1-Assumptions!$B$11)*$B$6/10*$B$7*$B$8*Assumptions!$B$12</f>
        <v>28684.4967131197</v>
      </c>
    </row>
    <row r="15" customFormat="false" ht="15" hidden="false" customHeight="false" outlineLevel="0" collapsed="false">
      <c r="A15" s="40" t="n">
        <v>0</v>
      </c>
      <c r="B15" s="41" t="n">
        <f aca="false">$B$5*(1+$A15)^5*(B$11+Assumptions!$B$10)*(1-Assumptions!$B$11)*$B$6/10*$B$7*$B$8*Assumptions!$B$12</f>
        <v>22704.6917632848</v>
      </c>
      <c r="C15" s="41" t="n">
        <f aca="false">$B$5*(1+$A15)^5*(C$11+Assumptions!$B$10)*(1-Assumptions!$B$11)*$B$6/10*$B$7*$B$8*Assumptions!$B$12</f>
        <v>24487.782739459</v>
      </c>
      <c r="D15" s="41" t="n">
        <f aca="false">$B$5*(1+$A15)^5*(D$11+Assumptions!$B$10)*(1-Assumptions!$B$11)*$B$6/10*$B$7*$B$8*Assumptions!$B$12</f>
        <v>26270.8737156332</v>
      </c>
      <c r="E15" s="41" t="n">
        <f aca="false">$B$5*(1+$A15)^5*(E$11+Assumptions!$B$10)*(1-Assumptions!$B$11)*$B$6/10*$B$7*$B$8*Assumptions!$B$12</f>
        <v>28053.9646918074</v>
      </c>
      <c r="F15" s="41" t="n">
        <f aca="false">$B$5*(1+$A15)^5*(F$11+Assumptions!$B$10)*(1-Assumptions!$B$11)*$B$6/10*$B$7*$B$8*Assumptions!$B$12</f>
        <v>29837.0556679816</v>
      </c>
      <c r="G15" s="41" t="n">
        <f aca="false">$B$5*(1+$A15)^5*(G$11+Assumptions!$B$10)*(1-Assumptions!$B$11)*$B$6/10*$B$7*$B$8*Assumptions!$B$12</f>
        <v>31620.1466441559</v>
      </c>
      <c r="H15" s="41" t="n">
        <f aca="false">$B$5*(1+$A15)^5*(H$11+Assumptions!$B$10)*(1-Assumptions!$B$11)*$B$6/10*$B$7*$B$8*Assumptions!$B$12</f>
        <v>33403.2376203301</v>
      </c>
    </row>
    <row r="16" customFormat="false" ht="15" hidden="false" customHeight="false" outlineLevel="0" collapsed="false">
      <c r="A16" s="40" t="n">
        <v>0.02</v>
      </c>
      <c r="B16" s="41" t="n">
        <f aca="false">$B$5*(1+$A16)^5*(B$11+Assumptions!$B$10)*(1-Assumptions!$B$11)*$B$6/10*$B$7*$B$8*Assumptions!$B$12</f>
        <v>25067.814318416</v>
      </c>
      <c r="C16" s="41" t="n">
        <f aca="false">$B$5*(1+$A16)^5*(C$11+Assumptions!$B$10)*(1-Assumptions!$B$11)*$B$6/10*$B$7*$B$8*Assumptions!$B$12</f>
        <v>27036.490835569</v>
      </c>
      <c r="D16" s="41" t="n">
        <f aca="false">$B$5*(1+$A16)^5*(D$11+Assumptions!$B$10)*(1-Assumptions!$B$11)*$B$6/10*$B$7*$B$8*Assumptions!$B$12</f>
        <v>29005.1673527221</v>
      </c>
      <c r="E16" s="41" t="n">
        <f aca="false">$B$5*(1+$A16)^5*(E$11+Assumptions!$B$10)*(1-Assumptions!$B$11)*$B$6/10*$B$7*$B$8*Assumptions!$B$12</f>
        <v>30973.8438698752</v>
      </c>
      <c r="F16" s="41" t="n">
        <f aca="false">$B$5*(1+$A16)^5*(F$11+Assumptions!$B$10)*(1-Assumptions!$B$11)*$B$6/10*$B$7*$B$8*Assumptions!$B$12</f>
        <v>32942.5203870283</v>
      </c>
      <c r="G16" s="41" t="n">
        <f aca="false">$B$5*(1+$A16)^5*(G$11+Assumptions!$B$10)*(1-Assumptions!$B$11)*$B$6/10*$B$7*$B$8*Assumptions!$B$12</f>
        <v>34911.1969041814</v>
      </c>
      <c r="H16" s="41" t="n">
        <f aca="false">$B$5*(1+$A16)^5*(H$11+Assumptions!$B$10)*(1-Assumptions!$B$11)*$B$6/10*$B$7*$B$8*Assumptions!$B$12</f>
        <v>36879.8734213345</v>
      </c>
    </row>
    <row r="17" customFormat="false" ht="15" hidden="false" customHeight="false" outlineLevel="0" collapsed="false">
      <c r="A17" s="40" t="n">
        <v>0.04</v>
      </c>
      <c r="B17" s="41" t="n">
        <f aca="false">$B$5*(1+$A17)^5*(B$11+Assumptions!$B$10)*(1-Assumptions!$B$11)*$B$6/10*$B$7*$B$8*Assumptions!$B$12</f>
        <v>27623.7291318979</v>
      </c>
      <c r="C17" s="41" t="n">
        <f aca="false">$B$5*(1+$A17)^5*(C$11+Assumptions!$B$10)*(1-Assumptions!$B$11)*$B$6/10*$B$7*$B$8*Assumptions!$B$12</f>
        <v>29793.1319433035</v>
      </c>
      <c r="D17" s="41" t="n">
        <f aca="false">$B$5*(1+$A17)^5*(D$11+Assumptions!$B$10)*(1-Assumptions!$B$11)*$B$6/10*$B$7*$B$8*Assumptions!$B$12</f>
        <v>31962.5347547091</v>
      </c>
      <c r="E17" s="41" t="n">
        <f aca="false">$B$5*(1+$A17)^5*(E$11+Assumptions!$B$10)*(1-Assumptions!$B$11)*$B$6/10*$B$7*$B$8*Assumptions!$B$12</f>
        <v>34131.9375661147</v>
      </c>
      <c r="F17" s="41" t="n">
        <f aca="false">$B$5*(1+$A17)^5*(F$11+Assumptions!$B$10)*(1-Assumptions!$B$11)*$B$6/10*$B$7*$B$8*Assumptions!$B$12</f>
        <v>36301.3403775202</v>
      </c>
      <c r="G17" s="41" t="n">
        <f aca="false">$B$5*(1+$A17)^5*(G$11+Assumptions!$B$10)*(1-Assumptions!$B$11)*$B$6/10*$B$7*$B$8*Assumptions!$B$12</f>
        <v>38470.7431889258</v>
      </c>
      <c r="H17" s="41" t="n">
        <f aca="false">$B$5*(1+$A17)^5*(H$11+Assumptions!$B$10)*(1-Assumptions!$B$11)*$B$6/10*$B$7*$B$8*Assumptions!$B$12</f>
        <v>40640.1460003314</v>
      </c>
    </row>
    <row r="18" customFormat="false" ht="15" hidden="false" customHeight="false" outlineLevel="0" collapsed="false">
      <c r="A18" s="40" t="n">
        <v>0.06</v>
      </c>
      <c r="B18" s="41" t="n">
        <f aca="false">$B$5*(1+$A18)^5*(B$11+Assumptions!$B$10)*(1-Assumptions!$B$11)*$B$6/10*$B$7*$B$8*Assumptions!$B$12</f>
        <v>30383.9992491518</v>
      </c>
      <c r="C18" s="41" t="n">
        <f aca="false">$B$5*(1+$A18)^5*(C$11+Assumptions!$B$10)*(1-Assumptions!$B$11)*$B$6/10*$B$7*$B$8*Assumptions!$B$12</f>
        <v>32770.1772006559</v>
      </c>
      <c r="D18" s="41" t="n">
        <f aca="false">$B$5*(1+$A18)^5*(D$11+Assumptions!$B$10)*(1-Assumptions!$B$11)*$B$6/10*$B$7*$B$8*Assumptions!$B$12</f>
        <v>35156.35515216</v>
      </c>
      <c r="E18" s="41" t="n">
        <f aca="false">$B$5*(1+$A18)^5*(E$11+Assumptions!$B$10)*(1-Assumptions!$B$11)*$B$6/10*$B$7*$B$8*Assumptions!$B$12</f>
        <v>37542.533103664</v>
      </c>
      <c r="F18" s="41" t="n">
        <f aca="false">$B$5*(1+$A18)^5*(F$11+Assumptions!$B$10)*(1-Assumptions!$B$11)*$B$6/10*$B$7*$B$8*Assumptions!$B$12</f>
        <v>39928.7110551681</v>
      </c>
      <c r="G18" s="41" t="n">
        <f aca="false">$B$5*(1+$A18)^5*(G$11+Assumptions!$B$10)*(1-Assumptions!$B$11)*$B$6/10*$B$7*$B$8*Assumptions!$B$12</f>
        <v>42314.8890066722</v>
      </c>
      <c r="H18" s="41" t="n">
        <f aca="false">$B$5*(1+$A18)^5*(H$11+Assumptions!$B$10)*(1-Assumptions!$B$11)*$B$6/10*$B$7*$B$8*Assumptions!$B$12</f>
        <v>44701.0669581762</v>
      </c>
    </row>
    <row r="19" customFormat="false" ht="15" hidden="false" customHeight="false" outlineLevel="0" collapsed="false">
      <c r="A19" s="40" t="n">
        <v>0.08</v>
      </c>
      <c r="B19" s="41" t="n">
        <f aca="false">$B$5*(1+$A19)^5*(B$11+Assumptions!$B$10)*(1-Assumptions!$B$11)*$B$6/10*$B$7*$B$8*Assumptions!$B$12</f>
        <v>33360.6410828841</v>
      </c>
      <c r="C19" s="41" t="n">
        <f aca="false">$B$5*(1+$A19)^5*(C$11+Assumptions!$B$10)*(1-Assumptions!$B$11)*$B$6/10*$B$7*$B$8*Assumptions!$B$12</f>
        <v>35980.5867176656</v>
      </c>
      <c r="D19" s="41" t="n">
        <f aca="false">$B$5*(1+$A19)^5*(D$11+Assumptions!$B$10)*(1-Assumptions!$B$11)*$B$6/10*$B$7*$B$8*Assumptions!$B$12</f>
        <v>38600.5323524471</v>
      </c>
      <c r="E19" s="41" t="n">
        <f aca="false">$B$5*(1+$A19)^5*(E$11+Assumptions!$B$10)*(1-Assumptions!$B$11)*$B$6/10*$B$7*$B$8*Assumptions!$B$12</f>
        <v>41220.4779872286</v>
      </c>
      <c r="F19" s="41" t="n">
        <f aca="false">$B$5*(1+$A19)^5*(F$11+Assumptions!$B$10)*(1-Assumptions!$B$11)*$B$6/10*$B$7*$B$8*Assumptions!$B$12</f>
        <v>43840.42362201</v>
      </c>
      <c r="G19" s="41" t="n">
        <f aca="false">$B$5*(1+$A19)^5*(G$11+Assumptions!$B$10)*(1-Assumptions!$B$11)*$B$6/10*$B$7*$B$8*Assumptions!$B$12</f>
        <v>46460.3692567915</v>
      </c>
      <c r="H19" s="41" t="n">
        <f aca="false">$B$5*(1+$A19)^5*(H$11+Assumptions!$B$10)*(1-Assumptions!$B$11)*$B$6/10*$B$7*$B$8*Assumptions!$B$12</f>
        <v>49080.314891573</v>
      </c>
    </row>
    <row r="20" customFormat="false" ht="15" hidden="false" customHeight="false" outlineLevel="0" collapsed="false">
      <c r="A20" s="40" t="n">
        <v>0.1</v>
      </c>
      <c r="B20" s="41" t="n">
        <f aca="false">$B$5*(1+$A20)^5*(B$11+Assumptions!$B$10)*(1-Assumptions!$B$11)*$B$6/10*$B$7*$B$8*Assumptions!$B$12</f>
        <v>36566.1331316879</v>
      </c>
      <c r="C20" s="41" t="n">
        <f aca="false">$B$5*(1+$A20)^5*(C$11+Assumptions!$B$10)*(1-Assumptions!$B$11)*$B$6/10*$B$7*$B$8*Assumptions!$B$12</f>
        <v>39437.8189797262</v>
      </c>
      <c r="D20" s="41" t="n">
        <f aca="false">$B$5*(1+$A20)^5*(D$11+Assumptions!$B$10)*(1-Assumptions!$B$11)*$B$6/10*$B$7*$B$8*Assumptions!$B$12</f>
        <v>42309.5048277645</v>
      </c>
      <c r="E20" s="41" t="n">
        <f aca="false">$B$5*(1+$A20)^5*(E$11+Assumptions!$B$10)*(1-Assumptions!$B$11)*$B$6/10*$B$7*$B$8*Assumptions!$B$12</f>
        <v>45181.1906758028</v>
      </c>
      <c r="F20" s="41" t="n">
        <f aca="false">$B$5*(1+$A20)^5*(F$11+Assumptions!$B$10)*(1-Assumptions!$B$11)*$B$6/10*$B$7*$B$8*Assumptions!$B$12</f>
        <v>48052.8765238411</v>
      </c>
      <c r="G20" s="41" t="n">
        <f aca="false">$B$5*(1+$A20)^5*(G$11+Assumptions!$B$10)*(1-Assumptions!$B$11)*$B$6/10*$B$7*$B$8*Assumptions!$B$12</f>
        <v>50924.5623718795</v>
      </c>
      <c r="H20" s="41" t="n">
        <f aca="false">$B$5*(1+$A20)^5*(H$11+Assumptions!$B$10)*(1-Assumptions!$B$11)*$B$6/10*$B$7*$B$8*Assumptions!$B$12</f>
        <v>53796.2482199178</v>
      </c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43.25" hidden="false" customHeight="false" outlineLevel="0" collapsed="false">
      <c r="A22" s="25" t="s">
        <v>177</v>
      </c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29" t="s">
        <v>178</v>
      </c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 t="s">
        <v>179</v>
      </c>
      <c r="B26" s="42" t="n">
        <f aca="false">Assumptions!F104</f>
        <v>28000</v>
      </c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 t="s">
        <v>180</v>
      </c>
      <c r="B27" s="42" t="n">
        <f aca="false">Assumptions!B99*(1+Assumptions!B100)^5</f>
        <v>9346.1674339584</v>
      </c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 t="s">
        <v>181</v>
      </c>
      <c r="B28" s="42" t="n">
        <f aca="false">-Assumptions!B97*(1+Assumptions!B98)^5</f>
        <v>-6519.1496969113</v>
      </c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5" t="s">
        <v>182</v>
      </c>
      <c r="B29" s="43" t="n">
        <f aca="false">SUM(B26:B28)</f>
        <v>30827.0177370471</v>
      </c>
      <c r="C29" s="1"/>
      <c r="D29" s="1"/>
      <c r="E29" s="1"/>
      <c r="F29" s="1"/>
      <c r="G29" s="1"/>
      <c r="H29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3"/>
    <col collapsed="false" customWidth="true" hidden="false" outlineLevel="0" max="6" min="5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2" t="s">
        <v>183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5" t="s">
        <v>184</v>
      </c>
      <c r="B2" s="1"/>
      <c r="C2" s="1"/>
      <c r="D2" s="1"/>
      <c r="E2" s="1"/>
      <c r="F2" s="1"/>
      <c r="G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4" customFormat="false" ht="31.5" hidden="false" customHeight="true" outlineLevel="0" collapsed="false">
      <c r="A4" s="44" t="s">
        <v>81</v>
      </c>
      <c r="B4" s="44" t="s">
        <v>82</v>
      </c>
      <c r="C4" s="44" t="s">
        <v>83</v>
      </c>
      <c r="D4" s="44" t="s">
        <v>84</v>
      </c>
      <c r="E4" s="44" t="s">
        <v>85</v>
      </c>
      <c r="F4" s="44" t="s">
        <v>185</v>
      </c>
      <c r="G4" s="44" t="s">
        <v>186</v>
      </c>
    </row>
    <row r="5" customFormat="false" ht="45.75" hidden="false" customHeight="true" outlineLevel="0" collapsed="false">
      <c r="A5" s="4" t="s">
        <v>87</v>
      </c>
      <c r="B5" s="17" t="n">
        <f aca="false">Assumptions!B17</f>
        <v>0.32</v>
      </c>
      <c r="C5" s="24" t="n">
        <f aca="false">Assumptions!C17</f>
        <v>9605.44</v>
      </c>
      <c r="D5" s="17" t="n">
        <f aca="false">Assumptions!D17</f>
        <v>0.55</v>
      </c>
      <c r="E5" s="24" t="n">
        <f aca="false">Assumptions!E17</f>
        <v>5282.992</v>
      </c>
      <c r="F5" s="24" t="n">
        <f aca="false">'Revenue Build'!G48</f>
        <v>4920.97784006805</v>
      </c>
      <c r="G5" s="25" t="s">
        <v>88</v>
      </c>
    </row>
    <row r="6" customFormat="false" ht="45.75" hidden="false" customHeight="true" outlineLevel="0" collapsed="false">
      <c r="A6" s="4" t="s">
        <v>89</v>
      </c>
      <c r="B6" s="17" t="n">
        <f aca="false">Assumptions!B18</f>
        <v>0.13</v>
      </c>
      <c r="C6" s="24" t="n">
        <f aca="false">Assumptions!C18</f>
        <v>3902.21</v>
      </c>
      <c r="D6" s="17" t="n">
        <f aca="false">Assumptions!D18</f>
        <v>0.4</v>
      </c>
      <c r="E6" s="24" t="n">
        <f aca="false">Assumptions!E18</f>
        <v>1560.884</v>
      </c>
      <c r="F6" s="24" t="n">
        <f aca="false">'Revenue Build'!G49</f>
        <v>2481.12316186632</v>
      </c>
      <c r="G6" s="25" t="s">
        <v>90</v>
      </c>
    </row>
    <row r="7" customFormat="false" ht="45.75" hidden="false" customHeight="true" outlineLevel="0" collapsed="false">
      <c r="A7" s="4" t="s">
        <v>91</v>
      </c>
      <c r="B7" s="17" t="n">
        <f aca="false">Assumptions!B19</f>
        <v>0.16</v>
      </c>
      <c r="C7" s="24" t="n">
        <f aca="false">Assumptions!C19</f>
        <v>4802.72</v>
      </c>
      <c r="D7" s="17" t="n">
        <f aca="false">Assumptions!D19</f>
        <v>0.5</v>
      </c>
      <c r="E7" s="24" t="n">
        <f aca="false">Assumptions!E19</f>
        <v>2401.36</v>
      </c>
      <c r="F7" s="24" t="n">
        <f aca="false">'Revenue Build'!G50</f>
        <v>2884.45927009422</v>
      </c>
      <c r="G7" s="25" t="s">
        <v>92</v>
      </c>
    </row>
    <row r="8" customFormat="false" ht="45.75" hidden="false" customHeight="true" outlineLevel="0" collapsed="false">
      <c r="A8" s="4" t="s">
        <v>93</v>
      </c>
      <c r="B8" s="17" t="n">
        <f aca="false">Assumptions!B20</f>
        <v>0.1</v>
      </c>
      <c r="C8" s="24" t="n">
        <f aca="false">Assumptions!C20</f>
        <v>3001.7</v>
      </c>
      <c r="D8" s="17" t="n">
        <f aca="false">Assumptions!D20</f>
        <v>0.65</v>
      </c>
      <c r="E8" s="24" t="n">
        <f aca="false">Assumptions!E20</f>
        <v>1951.105</v>
      </c>
      <c r="F8" s="24" t="n">
        <f aca="false">'Revenue Build'!G51</f>
        <v>1045.70893790429</v>
      </c>
      <c r="G8" s="25" t="s">
        <v>94</v>
      </c>
    </row>
    <row r="9" customFormat="false" ht="45.75" hidden="false" customHeight="true" outlineLevel="0" collapsed="false">
      <c r="A9" s="4" t="s">
        <v>95</v>
      </c>
      <c r="B9" s="17" t="n">
        <f aca="false">Assumptions!B21</f>
        <v>0.09</v>
      </c>
      <c r="C9" s="24" t="n">
        <f aca="false">Assumptions!C21</f>
        <v>2701.53</v>
      </c>
      <c r="D9" s="17" t="n">
        <f aca="false">Assumptions!D21</f>
        <v>0.25</v>
      </c>
      <c r="E9" s="24" t="n">
        <f aca="false">Assumptions!E21</f>
        <v>675.3825</v>
      </c>
      <c r="F9" s="24" t="n">
        <f aca="false">'Revenue Build'!G52</f>
        <v>2109.6360584811</v>
      </c>
      <c r="G9" s="25" t="s">
        <v>96</v>
      </c>
    </row>
    <row r="10" customFormat="false" ht="45.75" hidden="false" customHeight="true" outlineLevel="0" collapsed="false">
      <c r="A10" s="4" t="s">
        <v>97</v>
      </c>
      <c r="B10" s="17" t="n">
        <f aca="false">Assumptions!B22</f>
        <v>0.15</v>
      </c>
      <c r="C10" s="24" t="n">
        <f aca="false">Assumptions!C22</f>
        <v>4502.55</v>
      </c>
      <c r="D10" s="17" t="n">
        <f aca="false">Assumptions!D22</f>
        <v>0.15</v>
      </c>
      <c r="E10" s="24" t="n">
        <f aca="false">Assumptions!E22</f>
        <v>675.3825</v>
      </c>
      <c r="F10" s="24" t="n">
        <f aca="false">'Revenue Build'!G53</f>
        <v>3854.02308680995</v>
      </c>
      <c r="G10" s="25" t="s">
        <v>98</v>
      </c>
    </row>
    <row r="11" customFormat="false" ht="45.75" hidden="false" customHeight="true" outlineLevel="0" collapsed="false">
      <c r="A11" s="4" t="s">
        <v>99</v>
      </c>
      <c r="B11" s="17" t="n">
        <f aca="false">Assumptions!B23</f>
        <v>0.05</v>
      </c>
      <c r="C11" s="24" t="n">
        <f aca="false">Assumptions!C23</f>
        <v>1500.85</v>
      </c>
      <c r="D11" s="17" t="n">
        <f aca="false">Assumptions!D23</f>
        <v>0.1</v>
      </c>
      <c r="E11" s="24" t="n">
        <f aca="false">Assumptions!E23</f>
        <v>150.085</v>
      </c>
      <c r="F11" s="24" t="n">
        <f aca="false">'Revenue Build'!G54</f>
        <v>1213.46361472742</v>
      </c>
      <c r="G11" s="25" t="s">
        <v>100</v>
      </c>
    </row>
    <row r="12" customFormat="false" ht="15" hidden="false" customHeight="false" outlineLevel="0" collapsed="false">
      <c r="A12" s="5" t="s">
        <v>101</v>
      </c>
      <c r="B12" s="26" t="n">
        <f aca="false">SUM(B5:B11)</f>
        <v>1</v>
      </c>
      <c r="C12" s="27" t="n">
        <f aca="false">SUM(C5:C11)</f>
        <v>30017</v>
      </c>
      <c r="D12" s="1"/>
      <c r="E12" s="27" t="n">
        <f aca="false">SUM(E5:E11)</f>
        <v>12697.191</v>
      </c>
      <c r="F12" s="27" t="n">
        <f aca="false">SUM(F5:F11)</f>
        <v>18509.3919699514</v>
      </c>
      <c r="G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</row>
    <row r="14" customFormat="false" ht="15" hidden="false" customHeight="false" outlineLevel="0" collapsed="false">
      <c r="A14" s="5" t="s">
        <v>187</v>
      </c>
      <c r="B14" s="1"/>
      <c r="C14" s="45" t="n">
        <f aca="false">E12/C12</f>
        <v>0.423</v>
      </c>
      <c r="D14" s="1"/>
      <c r="E14" s="1"/>
      <c r="F14" s="1"/>
      <c r="G14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2026-08-25T12:51:53Z</dcterms:created>
  <dc:creator>openpyxl</dc:creator>
  <dc:description/>
  <dc:language>en-US</dc:language>
  <cp:lastModifiedBy/>
  <dcterms:modified xsi:type="dcterms:W3CDTF">2026-08-25T12:51:53Z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